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Documents\git\sqlsatwebsite\assets\misc\2025\"/>
    </mc:Choice>
  </mc:AlternateContent>
  <xr:revisionPtr revIDLastSave="0" documentId="13_ncr:1_{913985B1-9953-4F5E-A991-0FC67300006C}" xr6:coauthVersionLast="47" xr6:coauthVersionMax="47" xr10:uidLastSave="{00000000-0000-0000-0000-000000000000}"/>
  <bookViews>
    <workbookView xWindow="4275" yWindow="165" windowWidth="19965" windowHeight="148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<sst xmlns="http://schemas.openxmlformats.org/spreadsheetml/2006/main" count="39" uniqueCount="39">
  <si>
    <t>Date</t>
  </si>
  <si>
    <t>Event</t>
  </si>
  <si>
    <t>Registered</t>
  </si>
  <si>
    <t>Attended</t>
  </si>
  <si>
    <t>No show rate</t>
  </si>
  <si>
    <t>Waitlist</t>
  </si>
  <si>
    <t>Recordings</t>
  </si>
  <si>
    <t>Charge For Lunch</t>
  </si>
  <si>
    <t>Notes</t>
  </si>
  <si>
    <t>SQL Saturday Atlanta 2025 - AI &amp; BI (#1102) - 08 March 2025</t>
  </si>
  <si>
    <t>AI Saturday Houston 2025 (#1108) - 22 March 2025</t>
  </si>
  <si>
    <t>SQL Saturday Joinville 2025 (#1104)</t>
  </si>
  <si>
    <t>SQL Saturday Richmond 2025 (#1106)</t>
  </si>
  <si>
    <t>SQL Saturday Haiti 2025 (#1109) - Virtual</t>
  </si>
  <si>
    <t>SeaQL Saturday 2025 (#1101)</t>
  </si>
  <si>
    <t>SQL Saturday Austin 2025 (#1112)</t>
  </si>
  <si>
    <t>SQL Saturday Orange County 2025 (#1115)</t>
  </si>
  <si>
    <t>SQL Saturday Jacksonville 2025 (#1103)</t>
  </si>
  <si>
    <t>SQL Saturday New York City 2025 (#1105)</t>
  </si>
  <si>
    <t>SQL Saturday Raleigh 2025 (#1111)</t>
  </si>
  <si>
    <t>SQL Saturday Salt Lake City 2025 (#1114)</t>
  </si>
  <si>
    <t>SQL Saturday Trujillo 2025 (#1118)</t>
  </si>
  <si>
    <t>SQL Saturday Montreal 2025 (#1121)</t>
  </si>
  <si>
    <t>SQL Saturday San Diego 2025 (#1113)</t>
  </si>
  <si>
    <t>SQL Saturday South Florida 2025 (#1116)</t>
  </si>
  <si>
    <t>SQL Saturday Baton Rouge 2025 (#1110)</t>
  </si>
  <si>
    <t>Lost a box of tickets. Not everyone was scanned in. We gave away at least 350 bags.</t>
  </si>
  <si>
    <t>SQL Saturday Boston 2025 (#1119)</t>
  </si>
  <si>
    <t>SQL Saturday Minnesota (#1124)</t>
  </si>
  <si>
    <t>SQL Saturday CXS 2025 (#1125)</t>
  </si>
  <si>
    <t>SQL Saturday Orlando 2025 (#1122) </t>
  </si>
  <si>
    <t>SQL Saturday St. Louis 2025 (#1117)</t>
  </si>
  <si>
    <t>SQL Saturday Toronto 2025 (#1131)</t>
  </si>
  <si>
    <t>SQL Saturday Pittsburgh 2025 (#1123) </t>
  </si>
  <si>
    <t>SQL Saturday Houston 2025 (#1120)</t>
  </si>
  <si>
    <t>SQL Saturday Lima 2025 (#1126)</t>
  </si>
  <si>
    <t>SQL Saturday Oregon &amp; SW Washington 2025 (#1130)</t>
  </si>
  <si>
    <t>SQL Saturday Wellington 2025 (#1133)</t>
  </si>
  <si>
    <t>SQL Saturday Vitória 2025 (#1129)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</si>
</sst>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0" fillId="0" borderId="0" xfId="0" applyNumberFormat="1"/>
    <xf numFmtId="0" fontId="4" fillId="0" borderId="1" xfId="0" applyFont="1" applyBorder="1" applyAlignment="1">
      <alignment horizontal="left" wrapText="1"/>
    </xf>
    <xf numFmtId="14" fontId="0" fillId="0" borderId="0" xfId="0" applyNumberFormat="1"/>
    <xf numFmtId="164" fontId="0" fillId="0" borderId="0" xfId="0" applyNumberFormat="1"/>
    <xf numFmtId="0" fontId="5" fillId="0" borderId="0" xfId="1"/>
    <xf numFmtId="0" fontId="2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qlsaturday.com/2025-11-29-sqlsaturday1133/" TargetMode="External"/><Relationship Id="rId3" Type="http://schemas.openxmlformats.org/officeDocument/2006/relationships/hyperlink" Target="https://sqlsaturday.com/2025-10-25-sqlsaturday1131/" TargetMode="External"/><Relationship Id="rId7" Type="http://schemas.openxmlformats.org/officeDocument/2006/relationships/hyperlink" Target="https://sqlsaturday.com/2025-11-15-sqlsaturday1130/" TargetMode="External"/><Relationship Id="rId2" Type="http://schemas.openxmlformats.org/officeDocument/2006/relationships/hyperlink" Target="https://sqlsaturday.com/2025-10-25-sqlsaturday1117/" TargetMode="External"/><Relationship Id="rId1" Type="http://schemas.openxmlformats.org/officeDocument/2006/relationships/hyperlink" Target="https://sqlsaturday.com/2025-10-04-sqlsaturday1122/" TargetMode="External"/><Relationship Id="rId6" Type="http://schemas.openxmlformats.org/officeDocument/2006/relationships/hyperlink" Target="https://sqlsaturday.com/2025-11-22-sqlsaturday1126/" TargetMode="External"/><Relationship Id="rId5" Type="http://schemas.openxmlformats.org/officeDocument/2006/relationships/hyperlink" Target="https://sqlsaturday.com/2025-11-08-sqlsaturday1120/" TargetMode="External"/><Relationship Id="rId4" Type="http://schemas.openxmlformats.org/officeDocument/2006/relationships/hyperlink" Target="https://sqlsaturday.com/2025-10-18-sqlsaturday1123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5"/>
  <sheetViews>
    <sheetView tabSelected="1" topLeftCell="A9" workbookViewId="0">
      <selection activeCell="H9" sqref="H9"/>
    </sheetView>
  </sheetViews>
  <sheetFormatPr defaultRowHeight="15" x14ac:dyDescent="0.25"/>
  <cols>
    <col min="1" max="1" width="10.7109375" style="11" bestFit="1" customWidth="1"/>
    <col min="2" max="2" width="50.7109375" bestFit="1" customWidth="1"/>
    <col min="3" max="3" width="14.85546875" style="9" bestFit="1" customWidth="1"/>
    <col min="4" max="4" width="16.28515625" style="9" bestFit="1" customWidth="1"/>
    <col min="5" max="5" width="15.5703125" style="12" bestFit="1" customWidth="1"/>
    <col min="6" max="9" width="13.5703125" bestFit="1" customWidth="1"/>
  </cols>
  <sheetData>
    <row r="1" spans="1:9" ht="19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25">
      <c r="A2" s="5">
        <v>45724</v>
      </c>
      <c r="B2" s="6" t="s">
        <v>9</v>
      </c>
      <c r="C2" s="7">
        <v>511</v>
      </c>
      <c r="D2" s="7">
        <v>309</v>
      </c>
      <c r="E2" s="8">
        <f t="shared" ref="E2:E30" si="0">IF(C2=0,0,+(C2-D2)/C2)</f>
        <v>0.3953033268101761</v>
      </c>
    </row>
    <row r="3" spans="1:9" ht="19.5" customHeight="1" x14ac:dyDescent="0.25">
      <c r="A3" s="5">
        <v>45738</v>
      </c>
      <c r="B3" s="6" t="s">
        <v>10</v>
      </c>
      <c r="C3" s="7">
        <v>210</v>
      </c>
      <c r="D3" s="7">
        <v>110</v>
      </c>
      <c r="E3" s="8">
        <f t="shared" si="0"/>
        <v>0.47619047619047616</v>
      </c>
    </row>
    <row r="4" spans="1:9" ht="19.5" customHeight="1" x14ac:dyDescent="0.25">
      <c r="A4" s="5">
        <v>45752</v>
      </c>
      <c r="B4" s="6" t="s">
        <v>11</v>
      </c>
      <c r="C4" s="7">
        <v>600</v>
      </c>
      <c r="D4" s="7">
        <v>350</v>
      </c>
      <c r="E4" s="8">
        <f t="shared" si="0"/>
        <v>0.41666666666666669</v>
      </c>
    </row>
    <row r="5" spans="1:9" ht="19.5" customHeight="1" x14ac:dyDescent="0.25">
      <c r="A5" s="5">
        <v>45752</v>
      </c>
      <c r="B5" s="6" t="s">
        <v>12</v>
      </c>
      <c r="C5" s="7">
        <v>162</v>
      </c>
      <c r="D5" s="7">
        <v>98</v>
      </c>
      <c r="E5" s="8">
        <f t="shared" si="0"/>
        <v>0.39506172839506171</v>
      </c>
    </row>
    <row r="6" spans="1:9" ht="19.5" customHeight="1" x14ac:dyDescent="0.25">
      <c r="A6" s="5">
        <v>45773</v>
      </c>
      <c r="B6" s="6" t="s">
        <v>13</v>
      </c>
      <c r="C6" s="7">
        <v>121</v>
      </c>
      <c r="D6" s="7">
        <v>400</v>
      </c>
      <c r="E6" s="8">
        <f t="shared" si="0"/>
        <v>-2.3057851239669422</v>
      </c>
    </row>
    <row r="7" spans="1:9" ht="19.5" customHeight="1" x14ac:dyDescent="0.25">
      <c r="A7" s="5">
        <v>45759</v>
      </c>
      <c r="B7" s="6" t="s">
        <v>14</v>
      </c>
      <c r="C7" s="7">
        <v>75</v>
      </c>
      <c r="D7" s="7">
        <v>69</v>
      </c>
      <c r="E7" s="8">
        <f t="shared" si="0"/>
        <v>0.08</v>
      </c>
    </row>
    <row r="8" spans="1:9" ht="19.5" customHeight="1" x14ac:dyDescent="0.25">
      <c r="A8" s="5">
        <v>45780</v>
      </c>
      <c r="B8" s="6" t="s">
        <v>15</v>
      </c>
      <c r="C8" s="7">
        <v>122</v>
      </c>
      <c r="D8" s="7">
        <v>84</v>
      </c>
      <c r="E8" s="8">
        <f t="shared" si="0"/>
        <v>0.31147540983606559</v>
      </c>
    </row>
    <row r="9" spans="1:9" ht="19.5" customHeight="1" x14ac:dyDescent="0.25">
      <c r="A9" s="5">
        <v>45780</v>
      </c>
      <c r="B9" s="6" t="s">
        <v>16</v>
      </c>
      <c r="E9" s="8">
        <f t="shared" si="0"/>
        <v>0</v>
      </c>
      <c r="H9" s="9">
        <f>SUM(D8:D30)</f>
        <v>3302</v>
      </c>
    </row>
    <row r="10" spans="1:9" ht="19.5" customHeight="1" x14ac:dyDescent="0.25">
      <c r="A10" s="5">
        <v>45780</v>
      </c>
      <c r="B10" s="6" t="s">
        <v>17</v>
      </c>
      <c r="C10" s="7">
        <v>578</v>
      </c>
      <c r="D10" s="7">
        <v>499</v>
      </c>
      <c r="E10" s="8">
        <f t="shared" si="0"/>
        <v>0.13667820069204153</v>
      </c>
    </row>
    <row r="11" spans="1:9" ht="19.5" customHeight="1" x14ac:dyDescent="0.25">
      <c r="A11" s="5">
        <v>45787</v>
      </c>
      <c r="B11" s="6" t="s">
        <v>18</v>
      </c>
      <c r="C11" s="7">
        <v>215</v>
      </c>
      <c r="D11" s="7">
        <v>190</v>
      </c>
      <c r="E11" s="8">
        <f t="shared" si="0"/>
        <v>0.11627906976744186</v>
      </c>
    </row>
    <row r="12" spans="1:9" ht="19.5" customHeight="1" x14ac:dyDescent="0.25">
      <c r="A12" s="5">
        <v>45794</v>
      </c>
      <c r="B12" s="6" t="s">
        <v>19</v>
      </c>
      <c r="C12" s="7">
        <v>180</v>
      </c>
      <c r="D12" s="7">
        <v>118</v>
      </c>
      <c r="E12" s="8">
        <f t="shared" si="0"/>
        <v>0.34444444444444444</v>
      </c>
    </row>
    <row r="13" spans="1:9" ht="19.5" customHeight="1" x14ac:dyDescent="0.25">
      <c r="A13" s="5">
        <v>45800</v>
      </c>
      <c r="B13" s="6" t="s">
        <v>20</v>
      </c>
      <c r="C13" s="7">
        <v>171</v>
      </c>
      <c r="D13" s="7">
        <v>80</v>
      </c>
      <c r="E13" s="8">
        <f t="shared" si="0"/>
        <v>0.53216374269005851</v>
      </c>
    </row>
    <row r="14" spans="1:9" ht="19.5" customHeight="1" x14ac:dyDescent="0.25">
      <c r="A14" s="5">
        <v>45822</v>
      </c>
      <c r="B14" s="6" t="s">
        <v>21</v>
      </c>
      <c r="C14" s="7">
        <v>70</v>
      </c>
      <c r="D14" s="7">
        <v>169</v>
      </c>
      <c r="E14" s="8">
        <f t="shared" si="0"/>
        <v>-1.4142857142857144</v>
      </c>
    </row>
    <row r="15" spans="1:9" ht="19.5" customHeight="1" x14ac:dyDescent="0.25">
      <c r="A15" s="5">
        <v>45822</v>
      </c>
      <c r="B15" s="6" t="s">
        <v>22</v>
      </c>
      <c r="C15" s="7">
        <v>60</v>
      </c>
      <c r="D15" s="7">
        <v>60</v>
      </c>
      <c r="E15" s="8">
        <f t="shared" si="0"/>
        <v>0</v>
      </c>
    </row>
    <row r="16" spans="1:9" ht="19.5" customHeight="1" x14ac:dyDescent="0.25">
      <c r="A16" s="5">
        <v>45836</v>
      </c>
      <c r="B16" s="6" t="s">
        <v>23</v>
      </c>
      <c r="E16" s="8">
        <f t="shared" si="0"/>
        <v>0</v>
      </c>
    </row>
    <row r="17" spans="1:9" ht="19.5" customHeight="1" x14ac:dyDescent="0.25">
      <c r="A17" s="5">
        <v>45857</v>
      </c>
      <c r="B17" s="6" t="s">
        <v>24</v>
      </c>
      <c r="E17" s="8">
        <f t="shared" si="0"/>
        <v>0</v>
      </c>
    </row>
    <row r="18" spans="1:9" ht="19.5" customHeight="1" x14ac:dyDescent="0.25">
      <c r="A18" s="5">
        <v>45864</v>
      </c>
      <c r="B18" s="6" t="s">
        <v>25</v>
      </c>
      <c r="C18" s="9">
        <v>611</v>
      </c>
      <c r="D18" s="9">
        <v>155</v>
      </c>
      <c r="E18" s="8">
        <f t="shared" si="0"/>
        <v>0.74631751227495913</v>
      </c>
      <c r="I18" t="s">
        <v>26</v>
      </c>
    </row>
    <row r="19" spans="1:9" ht="19.5" customHeight="1" x14ac:dyDescent="0.25">
      <c r="A19" s="11">
        <v>45927</v>
      </c>
      <c r="B19" t="s">
        <v>27</v>
      </c>
      <c r="C19">
        <v>297</v>
      </c>
      <c r="D19">
        <v>240</v>
      </c>
      <c r="E19" s="8">
        <f t="shared" si="0"/>
        <v>0.19191919191919191</v>
      </c>
    </row>
    <row r="20" spans="1:9" ht="19.5" customHeight="1" x14ac:dyDescent="0.25">
      <c r="A20" s="11">
        <v>45927</v>
      </c>
      <c r="B20" t="s">
        <v>28</v>
      </c>
      <c r="C20"/>
      <c r="D20"/>
      <c r="E20" s="8">
        <f t="shared" si="0"/>
        <v>0</v>
      </c>
    </row>
    <row r="21" spans="1:9" ht="18.75" customHeight="1" x14ac:dyDescent="0.25">
      <c r="A21" s="11">
        <v>45927</v>
      </c>
      <c r="B21" t="s">
        <v>29</v>
      </c>
      <c r="C21">
        <v>187</v>
      </c>
      <c r="D21">
        <v>115</v>
      </c>
      <c r="E21" s="8">
        <f t="shared" si="0"/>
        <v>0.38502673796791442</v>
      </c>
    </row>
    <row r="22" spans="1:9" ht="18.75" customHeight="1" x14ac:dyDescent="0.25">
      <c r="A22" s="5">
        <v>45934</v>
      </c>
      <c r="B22" s="13" t="s">
        <v>30</v>
      </c>
      <c r="C22" s="9">
        <v>445</v>
      </c>
      <c r="D22" s="9">
        <v>250</v>
      </c>
      <c r="E22" s="8">
        <f t="shared" si="0"/>
        <v>0.43820224719101125</v>
      </c>
    </row>
    <row r="23" spans="1:9" ht="18.75" customHeight="1" x14ac:dyDescent="0.25">
      <c r="A23" s="5">
        <v>45948</v>
      </c>
      <c r="B23" s="13" t="s">
        <v>33</v>
      </c>
      <c r="C23" s="9">
        <v>114</v>
      </c>
      <c r="D23" s="9">
        <v>79</v>
      </c>
      <c r="E23" s="8">
        <f t="shared" si="0"/>
        <v>0.30701754385964913</v>
      </c>
    </row>
    <row r="24" spans="1:9" ht="18.75" customHeight="1" x14ac:dyDescent="0.25">
      <c r="A24" s="5">
        <v>45955</v>
      </c>
      <c r="B24" s="13" t="s">
        <v>31</v>
      </c>
      <c r="C24" s="9">
        <v>235</v>
      </c>
      <c r="D24" s="9">
        <v>121</v>
      </c>
      <c r="E24" s="8">
        <f t="shared" si="0"/>
        <v>0.48510638297872338</v>
      </c>
    </row>
    <row r="25" spans="1:9" ht="18.75" customHeight="1" x14ac:dyDescent="0.25">
      <c r="A25" s="5">
        <v>45955</v>
      </c>
      <c r="B25" s="13" t="s">
        <v>32</v>
      </c>
      <c r="C25" s="9">
        <v>367</v>
      </c>
      <c r="D25" s="9">
        <v>289</v>
      </c>
      <c r="E25" s="8">
        <f t="shared" si="0"/>
        <v>0.21253405994550409</v>
      </c>
    </row>
    <row r="26" spans="1:9" ht="18.75" customHeight="1" x14ac:dyDescent="0.25">
      <c r="A26" s="5">
        <v>45969</v>
      </c>
      <c r="B26" s="13" t="s">
        <v>34</v>
      </c>
      <c r="C26" s="9">
        <v>236</v>
      </c>
      <c r="D26" s="9">
        <v>160</v>
      </c>
      <c r="E26" s="8">
        <f t="shared" si="0"/>
        <v>0.32203389830508472</v>
      </c>
    </row>
    <row r="27" spans="1:9" ht="18.75" customHeight="1" x14ac:dyDescent="0.25">
      <c r="A27" s="5">
        <v>45976</v>
      </c>
      <c r="B27" s="13" t="s">
        <v>36</v>
      </c>
      <c r="C27" s="9">
        <v>295</v>
      </c>
      <c r="D27" s="9">
        <v>200</v>
      </c>
      <c r="E27" s="8">
        <f t="shared" si="0"/>
        <v>0.32203389830508472</v>
      </c>
    </row>
    <row r="28" spans="1:9" ht="18.75" customHeight="1" x14ac:dyDescent="0.25">
      <c r="A28" s="5">
        <v>45983</v>
      </c>
      <c r="B28" s="13" t="s">
        <v>35</v>
      </c>
      <c r="C28" s="9">
        <v>369</v>
      </c>
      <c r="D28" s="9">
        <v>117</v>
      </c>
      <c r="E28" s="8">
        <f t="shared" si="0"/>
        <v>0.68292682926829273</v>
      </c>
    </row>
    <row r="29" spans="1:9" ht="15.75" customHeight="1" x14ac:dyDescent="0.25">
      <c r="A29" s="5">
        <v>45990</v>
      </c>
      <c r="B29" s="13" t="s">
        <v>37</v>
      </c>
      <c r="C29" s="9">
        <v>94</v>
      </c>
      <c r="D29" s="9">
        <v>60</v>
      </c>
      <c r="E29" s="8">
        <f t="shared" si="0"/>
        <v>0.36170212765957449</v>
      </c>
    </row>
    <row r="30" spans="1:9" ht="18.75" customHeight="1" x14ac:dyDescent="0.25">
      <c r="A30" s="5">
        <v>45997</v>
      </c>
      <c r="B30" s="14" t="s">
        <v>38</v>
      </c>
      <c r="C30" s="9">
        <v>1300</v>
      </c>
      <c r="D30" s="9">
        <v>316</v>
      </c>
      <c r="E30" s="8">
        <f t="shared" si="0"/>
        <v>0.75692307692307692</v>
      </c>
    </row>
    <row r="31" spans="1:9" ht="18.75" customHeight="1" x14ac:dyDescent="0.25">
      <c r="A31" s="5"/>
      <c r="B31" s="10"/>
      <c r="E31" s="8"/>
    </row>
    <row r="32" spans="1:9" ht="18.75" customHeight="1" x14ac:dyDescent="0.25">
      <c r="A32" s="5"/>
      <c r="B32" s="10"/>
      <c r="E32" s="8"/>
    </row>
    <row r="33" spans="1:5" ht="18.75" customHeight="1" x14ac:dyDescent="0.25">
      <c r="A33" s="5"/>
      <c r="B33" s="10"/>
      <c r="E33" s="8"/>
    </row>
    <row r="34" spans="1:5" ht="18.75" customHeight="1" x14ac:dyDescent="0.25">
      <c r="A34" s="5"/>
      <c r="B34" s="10"/>
      <c r="E34" s="8"/>
    </row>
    <row r="35" spans="1:5" ht="18.75" customHeight="1" x14ac:dyDescent="0.25">
      <c r="A35" s="5"/>
      <c r="B35" s="10"/>
      <c r="E35" s="8"/>
    </row>
  </sheetData>
  <hyperlinks>
    <hyperlink ref="B22" r:id="rId1" display="https://sqlsaturday.com/2025-10-04-sqlsaturday1122/" xr:uid="{6E93A10F-B511-48C1-A833-4D51513D91C4}"/>
    <hyperlink ref="B24" r:id="rId2" display="https://sqlsaturday.com/2025-10-25-sqlsaturday1117/" xr:uid="{A7DA2FAD-BA1C-4A45-98CC-635263579449}"/>
    <hyperlink ref="B25" r:id="rId3" display="https://sqlsaturday.com/2025-10-25-sqlsaturday1131/" xr:uid="{F95243ED-E1B2-494F-8F69-B786B43E5557}"/>
    <hyperlink ref="B23" r:id="rId4" display="https://sqlsaturday.com/2025-10-18-sqlsaturday1123/" xr:uid="{179CE75E-0E5C-41A3-9410-24CEDD56D08D}"/>
    <hyperlink ref="B26" r:id="rId5" display="https://sqlsaturday.com/2025-11-08-sqlsaturday1120/" xr:uid="{F007E6AC-513D-4E00-9E3B-C68947357F5F}"/>
    <hyperlink ref="B28" r:id="rId6" display="https://sqlsaturday.com/2025-11-22-sqlsaturday1126/" xr:uid="{CDDA5F51-FCDF-41A5-81CE-3A70B20F7D25}"/>
    <hyperlink ref="B27" r:id="rId7" display="https://sqlsaturday.com/2025-11-15-sqlsaturday1130/" xr:uid="{A8D7C901-AD32-4918-88DB-18074CD12BC1}"/>
    <hyperlink ref="B29" r:id="rId8" display="https://sqlsaturday.com/2025-11-29-sqlsaturday1133/" xr:uid="{D2CCB4FD-B319-45A1-8319-ED15690C7FFB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Jones</cp:lastModifiedBy>
  <dcterms:created xsi:type="dcterms:W3CDTF">2025-08-01T15:34:37Z</dcterms:created>
  <dcterms:modified xsi:type="dcterms:W3CDTF">2026-04-01T22:28:44Z</dcterms:modified>
</cp:coreProperties>
</file>