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7D96B25A-5DA8-4948-B5A1-87C51D0AB38E}" xr6:coauthVersionLast="47" xr6:coauthVersionMax="47" xr10:uidLastSave="{00000000-0000-0000-0000-000000000000}"/>
  <bookViews>
    <workbookView xWindow="-28245" yWindow="315" windowWidth="25260" windowHeight="15210" activeTab="1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2" l="1"/>
  <c r="G22" i="2"/>
  <c r="H28" i="2"/>
  <c r="H27" i="2"/>
  <c r="H26" i="2"/>
  <c r="H25" i="2"/>
  <c r="G25" i="2" s="1"/>
  <c r="H23" i="2"/>
  <c r="G23" i="2" s="1"/>
  <c r="H22" i="2"/>
  <c r="H21" i="2"/>
  <c r="G21" i="2" s="1"/>
  <c r="H20" i="2"/>
  <c r="G20" i="2" s="1"/>
  <c r="H24" i="2"/>
  <c r="E24" i="1"/>
  <c r="G28" i="2"/>
  <c r="G27" i="2"/>
  <c r="E21" i="1"/>
  <c r="E23" i="1"/>
  <c r="G26" i="2"/>
  <c r="H19" i="2"/>
  <c r="H18" i="2"/>
  <c r="G18" i="2" s="1"/>
  <c r="H17" i="2"/>
  <c r="G17" i="2" s="1"/>
  <c r="H16" i="2"/>
  <c r="H15" i="2"/>
  <c r="H14" i="2"/>
  <c r="H13" i="2"/>
  <c r="G13" i="2" s="1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9" i="1"/>
  <c r="E28" i="1"/>
  <c r="E27" i="1"/>
  <c r="E26" i="1"/>
  <c r="E25" i="1"/>
  <c r="E22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<sst xmlns="http://schemas.openxmlformats.org/spreadsheetml/2006/main" count="53" uniqueCount="42">
  <si>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</si>
  <si>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</si>
  <si>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</si>
  <si>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</si>
  <si>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</si>
  <si>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</si>
  <si>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</si>
  <si>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</si>
  <si>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</si>
  <si>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</si>
  <si>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</si>
  <si>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</si>
  <si>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</si>
  <si>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</si>
  <si>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</si>
  <si>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</si>
  <si>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</si>
  <si>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</si>
  <si>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</si>
  <si>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</si>
  <si>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</si>
  <si>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</si>
  <si>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</si>
  <si>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</si>
  <si>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</si>
  <si>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</si>
  <si>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</si>
  <si>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</si>
  <si>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</si>
  <si>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</si>
  <si>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</si>
  <si>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</si>
  <si>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</si>
  <si>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</si>
  <si>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</si>
  <si>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</si>
  <si>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</si>
  <si>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</si>
  <si>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</si>
  <si>
    <t>Day of Data Detroit 2026 (#1164)</t>
  </si>
  <si>
    <t>Day of Data Vitória 2026 (#1156)</t>
  </si>
  <si>
    <t>Day of Data Winnipeg 2026 (#1159)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</si>
</sst>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14" fontId="2" fillId="0" borderId="1" xfId="0" applyNumberFormat="1" applyFont="1" applyBorder="1"/>
    <xf numFmtId="0" fontId="6" fillId="0" borderId="0" xfId="0" applyFont="1" applyAlignment="1">
      <alignment horizontal="right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26" Type="http://schemas.openxmlformats.org/officeDocument/2006/relationships/hyperlink" Target="https://sqlsaturday.com/2026-09-19-sqlsaturday1156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hyperlink" Target="https://sqlsaturday.com/2026-09-12-sqlsaturday1164/" TargetMode="External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Relationship Id="rId27" Type="http://schemas.openxmlformats.org/officeDocument/2006/relationships/hyperlink" Target="https://sqlsaturday.com/2026-09-19-sqlsaturday1159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9-19-sqlsaturday1159/" TargetMode="External"/><Relationship Id="rId3" Type="http://schemas.openxmlformats.org/officeDocument/2006/relationships/hyperlink" Target="https://sqlsaturday.com/2026-10-24-sqlsaturday1148/" TargetMode="External"/><Relationship Id="rId7" Type="http://schemas.openxmlformats.org/officeDocument/2006/relationships/hyperlink" Target="https://sqlsaturday.com/2026-09-19-sqlsaturday1156/" TargetMode="External"/><Relationship Id="rId2" Type="http://schemas.openxmlformats.org/officeDocument/2006/relationships/hyperlink" Target="https://sqlsaturday.com/2026-10-03-sqlsaturday1150/" TargetMode="External"/><Relationship Id="rId1" Type="http://schemas.openxmlformats.org/officeDocument/2006/relationships/hyperlink" Target="https://sqlsaturday.com/2026-09-19-sqlsaturday1152/" TargetMode="External"/><Relationship Id="rId6" Type="http://schemas.openxmlformats.org/officeDocument/2006/relationships/hyperlink" Target="https://sqlsaturday.com/2026-09-12-sqlsaturday1164/" TargetMode="External"/><Relationship Id="rId5" Type="http://schemas.openxmlformats.org/officeDocument/2006/relationships/hyperlink" Target="https://sqlsaturday.com/2026-11-07-sqlsaturday1149/" TargetMode="External"/><Relationship Id="rId4" Type="http://schemas.openxmlformats.org/officeDocument/2006/relationships/hyperlink" Target="https://sqlsaturday.com/2026-10-24-sqlsaturday1153/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6"/>
  <sheetViews>
    <sheetView topLeftCell="A9" workbookViewId="0">
      <selection activeCell="E23" sqref="E23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9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178</v>
      </c>
      <c r="D13" s="6">
        <v>82</v>
      </c>
      <c r="E13" s="7">
        <f t="shared" si="0"/>
        <v>0.5393258426966292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611</v>
      </c>
      <c r="D18" s="6">
        <v>349</v>
      </c>
      <c r="E18" s="7">
        <f t="shared" si="0"/>
        <v>0.42880523731587561</v>
      </c>
    </row>
    <row r="19" spans="1:5" ht="18.75" customHeight="1" x14ac:dyDescent="0.25">
      <c r="A19" s="10">
        <v>46242</v>
      </c>
      <c r="B19" s="12" t="s">
        <v>33</v>
      </c>
      <c r="C19" s="6">
        <v>128</v>
      </c>
      <c r="D19" s="6">
        <v>116</v>
      </c>
      <c r="E19" s="7">
        <f t="shared" si="0"/>
        <v>9.375E-2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5">
        <v>46277</v>
      </c>
      <c r="B21" s="12" t="s">
        <v>39</v>
      </c>
      <c r="C21" s="6">
        <v>96</v>
      </c>
      <c r="D21" s="6">
        <v>50</v>
      </c>
      <c r="E21" s="7">
        <f t="shared" ref="E21" si="1">IF(C21=0,0,+(C21-D21)/C21)</f>
        <v>0.47916666666666669</v>
      </c>
    </row>
    <row r="22" spans="1:5" ht="18.75" customHeight="1" x14ac:dyDescent="0.25">
      <c r="A22" s="10">
        <v>46284</v>
      </c>
      <c r="B22" s="12" t="s">
        <v>34</v>
      </c>
      <c r="C22" s="6">
        <v>140</v>
      </c>
      <c r="D22" s="6">
        <v>65</v>
      </c>
      <c r="E22" s="7">
        <f t="shared" si="0"/>
        <v>0.5357142857142857</v>
      </c>
    </row>
    <row r="23" spans="1:5" ht="18.75" customHeight="1" x14ac:dyDescent="0.25">
      <c r="A23" s="10">
        <v>46284</v>
      </c>
      <c r="B23" s="12" t="s">
        <v>40</v>
      </c>
      <c r="C23" s="6">
        <v>1255</v>
      </c>
      <c r="D23" s="6">
        <v>376</v>
      </c>
      <c r="E23" s="7">
        <f t="shared" ref="E23:E24" si="2">IF(C23=0,0,+(C23-D23)/C23)</f>
        <v>0.70039840637450201</v>
      </c>
    </row>
    <row r="24" spans="1:5" ht="18.75" customHeight="1" x14ac:dyDescent="0.25">
      <c r="A24" s="10">
        <v>46284</v>
      </c>
      <c r="B24" s="12" t="s">
        <v>41</v>
      </c>
      <c r="C24" s="6">
        <v>363</v>
      </c>
      <c r="D24" s="6">
        <v>163</v>
      </c>
      <c r="E24" s="7">
        <f t="shared" si="2"/>
        <v>0.55096418732782371</v>
      </c>
    </row>
    <row r="25" spans="1:5" ht="18.75" customHeight="1" x14ac:dyDescent="0.25">
      <c r="A25" s="5">
        <v>46298</v>
      </c>
      <c r="B25" s="12" t="s">
        <v>35</v>
      </c>
      <c r="C25" s="6">
        <v>226</v>
      </c>
      <c r="D25" s="6">
        <v>176</v>
      </c>
      <c r="E25" s="7">
        <f t="shared" si="0"/>
        <v>0.22123893805309736</v>
      </c>
    </row>
    <row r="26" spans="1:5" ht="18.75" customHeight="1" x14ac:dyDescent="0.25">
      <c r="A26" s="5">
        <v>46319</v>
      </c>
      <c r="B26" s="12" t="s">
        <v>36</v>
      </c>
      <c r="C26" s="6">
        <v>0</v>
      </c>
      <c r="D26" s="6">
        <v>0</v>
      </c>
      <c r="E26" s="7">
        <f t="shared" si="0"/>
        <v>0</v>
      </c>
    </row>
    <row r="27" spans="1:5" ht="18.75" customHeight="1" x14ac:dyDescent="0.25">
      <c r="A27" s="5">
        <v>46319</v>
      </c>
      <c r="B27" s="12" t="s">
        <v>37</v>
      </c>
      <c r="C27" s="6">
        <v>0</v>
      </c>
      <c r="D27" s="6">
        <v>0</v>
      </c>
      <c r="E27" s="7">
        <f t="shared" si="0"/>
        <v>0</v>
      </c>
    </row>
    <row r="28" spans="1:5" ht="18.75" customHeight="1" x14ac:dyDescent="0.25">
      <c r="A28" s="5">
        <v>46333</v>
      </c>
      <c r="B28" s="12" t="s">
        <v>38</v>
      </c>
      <c r="C28" s="6">
        <v>0</v>
      </c>
      <c r="D28" s="6">
        <v>0</v>
      </c>
      <c r="E28" s="7">
        <f t="shared" si="0"/>
        <v>0</v>
      </c>
    </row>
    <row r="29" spans="1:5" ht="18.75" customHeight="1" x14ac:dyDescent="0.25">
      <c r="A29" s="5"/>
      <c r="B29" s="12"/>
      <c r="E29" s="7">
        <f t="shared" si="0"/>
        <v>0</v>
      </c>
    </row>
    <row r="30" spans="1:5" ht="15.75" customHeight="1" x14ac:dyDescent="0.25">
      <c r="A30" s="5"/>
      <c r="B30" s="12"/>
      <c r="E30" s="7"/>
    </row>
    <row r="31" spans="1:5" ht="18.75" customHeight="1" x14ac:dyDescent="0.25">
      <c r="A31" s="5"/>
      <c r="B31" s="13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  <row r="34" spans="1:5" ht="18.75" customHeight="1" x14ac:dyDescent="0.25">
      <c r="A34" s="5"/>
      <c r="B34" s="9"/>
      <c r="E34" s="7"/>
    </row>
    <row r="35" spans="1:5" ht="18.75" customHeight="1" x14ac:dyDescent="0.25">
      <c r="A35" s="5"/>
      <c r="B35" s="9"/>
      <c r="E35" s="7"/>
    </row>
    <row r="36" spans="1:5" ht="18.75" customHeight="1" x14ac:dyDescent="0.25">
      <c r="A36" s="5"/>
      <c r="B36" s="9"/>
      <c r="E36" s="7"/>
    </row>
  </sheetData>
  <sortState xmlns:xlrd2="http://schemas.microsoft.com/office/spreadsheetml/2017/richdata2" ref="A2:I37">
    <sortCondition ref="A2:A37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2" r:id="rId20" display="https://sqlsaturday.com/2026-09-19-sqlsaturday1152/" xr:uid="{1C24212F-ACFE-4FD3-A6CF-8E691EEA9C75}"/>
    <hyperlink ref="B25" r:id="rId21" display="https://sqlsaturday.com/2026-10-03-sqlsaturday1150/" xr:uid="{80072270-983F-4E6A-AFAE-3FC24DE448B3}"/>
    <hyperlink ref="B26" r:id="rId22" display="https://sqlsaturday.com/2026-10-24-sqlsaturday1148/" xr:uid="{111A5B01-58C6-46AB-81AC-567A7B3C8861}"/>
    <hyperlink ref="B27" r:id="rId23" display="https://sqlsaturday.com/2026-10-24-sqlsaturday1153/" xr:uid="{29A122E2-6150-4028-BEF4-E884CED9AA91}"/>
    <hyperlink ref="B28" r:id="rId24" display="https://sqlsaturday.com/2026-11-07-sqlsaturday1149/" xr:uid="{1C87B471-8BB8-47E8-8A2F-FEB250EAF056}"/>
    <hyperlink ref="B21" r:id="rId25" display="https://sqlsaturday.com/2026-09-12-sqlsaturday1164/" xr:uid="{C31C9E88-D474-46E9-9D7F-515DB0D1C4FD}"/>
    <hyperlink ref="B23" r:id="rId26" display="https://sqlsaturday.com/2026-09-19-sqlsaturday1156/" xr:uid="{D29C5250-03B6-490D-8B76-A7A1B304D760}"/>
    <hyperlink ref="B24" r:id="rId27" display="https://sqlsaturday.com/2026-09-19-sqlsaturday1159/" xr:uid="{120DA250-32FF-4D5E-BAA0-AE998F27E101}"/>
  </hyperlinks>
  <pageMargins left="0.7" right="0.7" top="0.75" bottom="0.75" header="0.3" footer="0.3"/>
  <pageSetup orientation="portrait" r:id="rId2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P30"/>
  <sheetViews>
    <sheetView tabSelected="1" workbookViewId="0">
      <selection activeCell="G23" sqref="G23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  <col min="15" max="15" width="15.7109375" customWidth="1"/>
  </cols>
  <sheetData>
    <row r="1" spans="1:16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16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16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16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16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16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  <c r="O6" s="20"/>
      <c r="P6" s="24"/>
    </row>
    <row r="7" spans="1:16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  <c r="O7" s="21"/>
      <c r="P7" s="24"/>
    </row>
    <row r="8" spans="1:16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  <c r="O8" s="21"/>
      <c r="P8" s="22"/>
    </row>
    <row r="9" spans="1:16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  <c r="O9" s="21"/>
      <c r="P9" s="22"/>
    </row>
    <row r="10" spans="1:16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  <c r="O10" s="21"/>
      <c r="P10" s="22"/>
    </row>
    <row r="11" spans="1:16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  <c r="O11" s="21"/>
      <c r="P11" s="22"/>
    </row>
    <row r="12" spans="1:16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  <c r="O12" s="21"/>
      <c r="P12" s="22"/>
    </row>
    <row r="13" spans="1:16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5" si="3">+H13-SUM(C13:F13)</f>
        <v>178</v>
      </c>
      <c r="H13" s="8">
        <f>+Attendance!C13</f>
        <v>178</v>
      </c>
      <c r="O13" s="21"/>
      <c r="P13" s="22"/>
    </row>
    <row r="14" spans="1:16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  <c r="O14" s="21"/>
      <c r="P14" s="22"/>
    </row>
    <row r="15" spans="1:16" x14ac:dyDescent="0.25">
      <c r="A15" s="10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  <c r="O15" s="21"/>
      <c r="P15" s="22"/>
    </row>
    <row r="16" spans="1:16" x14ac:dyDescent="0.25">
      <c r="A16" s="10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  <c r="O16" s="21"/>
      <c r="P16" s="22"/>
    </row>
    <row r="17" spans="1:16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  <c r="O17" s="21"/>
      <c r="P17" s="22"/>
    </row>
    <row r="18" spans="1:16" x14ac:dyDescent="0.25">
      <c r="A18" s="10">
        <f>+Attendance!A18</f>
        <v>46221</v>
      </c>
      <c r="B18" s="10" t="str">
        <f>+Attendance!B18</f>
        <v>Day of Data Baton Rouge 2026 (#1141)</v>
      </c>
      <c r="C18">
        <v>94</v>
      </c>
      <c r="D18">
        <v>18</v>
      </c>
      <c r="E18">
        <v>28</v>
      </c>
      <c r="F18">
        <v>10</v>
      </c>
      <c r="G18" s="8">
        <f t="shared" si="3"/>
        <v>461</v>
      </c>
      <c r="H18" s="8">
        <f>+Attendance!C18</f>
        <v>611</v>
      </c>
      <c r="O18" s="21"/>
      <c r="P18" s="22"/>
    </row>
    <row r="19" spans="1:16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11</v>
      </c>
      <c r="E19">
        <v>3</v>
      </c>
      <c r="F19">
        <v>19</v>
      </c>
      <c r="G19" s="8">
        <v>61</v>
      </c>
      <c r="H19" s="8">
        <f>+Attendance!C19</f>
        <v>128</v>
      </c>
      <c r="O19" s="21"/>
      <c r="P19" s="22"/>
    </row>
    <row r="20" spans="1:16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  <c r="O20" s="21"/>
      <c r="P20" s="22"/>
    </row>
    <row r="21" spans="1:16" x14ac:dyDescent="0.25">
      <c r="A21" s="23">
        <v>46277</v>
      </c>
      <c r="B21" s="12" t="s">
        <v>39</v>
      </c>
      <c r="C21">
        <v>15</v>
      </c>
      <c r="D21">
        <v>7</v>
      </c>
      <c r="E21">
        <v>5</v>
      </c>
      <c r="F21">
        <v>15</v>
      </c>
      <c r="G21" s="8">
        <f t="shared" si="3"/>
        <v>54</v>
      </c>
      <c r="H21" s="8">
        <f>+Attendance!C21</f>
        <v>96</v>
      </c>
      <c r="O21" s="21"/>
      <c r="P21" s="22"/>
    </row>
    <row r="22" spans="1:16" x14ac:dyDescent="0.25">
      <c r="A22" s="10">
        <v>46284</v>
      </c>
      <c r="B22" s="12" t="s">
        <v>34</v>
      </c>
      <c r="C22">
        <v>0</v>
      </c>
      <c r="D22">
        <v>0</v>
      </c>
      <c r="E22">
        <v>0</v>
      </c>
      <c r="F22">
        <v>0</v>
      </c>
      <c r="G22" s="8">
        <f t="shared" si="3"/>
        <v>140</v>
      </c>
      <c r="H22" s="8">
        <f>+Attendance!C22</f>
        <v>140</v>
      </c>
      <c r="O22" s="21"/>
      <c r="P22" s="22"/>
    </row>
    <row r="23" spans="1:16" x14ac:dyDescent="0.25">
      <c r="A23" s="10">
        <v>46284</v>
      </c>
      <c r="B23" s="12" t="s">
        <v>40</v>
      </c>
      <c r="C23">
        <v>255</v>
      </c>
      <c r="D23">
        <v>0</v>
      </c>
      <c r="E23">
        <v>222</v>
      </c>
      <c r="F23">
        <v>0</v>
      </c>
      <c r="G23" s="8">
        <f t="shared" si="3"/>
        <v>778</v>
      </c>
      <c r="H23" s="8">
        <f>+Attendance!C23</f>
        <v>1255</v>
      </c>
      <c r="O23" s="21"/>
      <c r="P23" s="22"/>
    </row>
    <row r="24" spans="1:16" x14ac:dyDescent="0.25">
      <c r="A24" s="10">
        <v>46284</v>
      </c>
      <c r="B24" s="12" t="s">
        <v>41</v>
      </c>
      <c r="C24">
        <v>20</v>
      </c>
      <c r="D24">
        <v>5</v>
      </c>
      <c r="E24">
        <v>2</v>
      </c>
      <c r="F24">
        <v>12</v>
      </c>
      <c r="G24" s="8">
        <f t="shared" si="3"/>
        <v>324</v>
      </c>
      <c r="H24" s="8">
        <f>+Attendance!C24</f>
        <v>363</v>
      </c>
      <c r="O24" s="21"/>
      <c r="P24" s="22"/>
    </row>
    <row r="25" spans="1:16" x14ac:dyDescent="0.25">
      <c r="A25" s="23">
        <v>46298</v>
      </c>
      <c r="B25" s="12" t="s">
        <v>35</v>
      </c>
      <c r="C25">
        <v>0</v>
      </c>
      <c r="D25">
        <v>0</v>
      </c>
      <c r="E25">
        <v>0</v>
      </c>
      <c r="F25">
        <v>0</v>
      </c>
      <c r="G25" s="8">
        <f t="shared" si="3"/>
        <v>226</v>
      </c>
      <c r="H25" s="8">
        <f>+Attendance!C25</f>
        <v>226</v>
      </c>
      <c r="O25" s="21"/>
      <c r="P25" s="22"/>
    </row>
    <row r="26" spans="1:16" x14ac:dyDescent="0.25">
      <c r="A26" s="23">
        <v>46319</v>
      </c>
      <c r="B26" s="12" t="s">
        <v>36</v>
      </c>
      <c r="C26">
        <v>0</v>
      </c>
      <c r="D26">
        <v>0</v>
      </c>
      <c r="E26">
        <v>0</v>
      </c>
      <c r="F26">
        <v>0</v>
      </c>
      <c r="G26" s="8">
        <f t="shared" ref="G26" si="4">+H26-SUM(C26:F26)</f>
        <v>0</v>
      </c>
      <c r="H26" s="8">
        <f>+Attendance!C26</f>
        <v>0</v>
      </c>
      <c r="O26" s="21"/>
      <c r="P26" s="22"/>
    </row>
    <row r="27" spans="1:16" x14ac:dyDescent="0.25">
      <c r="A27" s="23">
        <v>46319</v>
      </c>
      <c r="B27" s="12" t="s">
        <v>37</v>
      </c>
      <c r="C27">
        <v>0</v>
      </c>
      <c r="D27">
        <v>0</v>
      </c>
      <c r="E27">
        <v>0</v>
      </c>
      <c r="F27">
        <v>0</v>
      </c>
      <c r="G27" s="8">
        <f t="shared" ref="G27:G28" si="5">+H27-SUM(C27:F27)</f>
        <v>0</v>
      </c>
      <c r="H27" s="8">
        <f>+Attendance!C27</f>
        <v>0</v>
      </c>
      <c r="O27" s="21"/>
      <c r="P27" s="22"/>
    </row>
    <row r="28" spans="1:16" x14ac:dyDescent="0.25">
      <c r="A28" s="23">
        <v>46333</v>
      </c>
      <c r="B28" s="12" t="s">
        <v>38</v>
      </c>
      <c r="C28">
        <v>0</v>
      </c>
      <c r="D28">
        <v>0</v>
      </c>
      <c r="E28">
        <v>0</v>
      </c>
      <c r="F28">
        <v>0</v>
      </c>
      <c r="G28" s="8">
        <f t="shared" si="5"/>
        <v>0</v>
      </c>
      <c r="H28" s="8">
        <f>+Attendance!C28</f>
        <v>0</v>
      </c>
      <c r="O28" s="21"/>
      <c r="P28" s="22"/>
    </row>
    <row r="29" spans="1:16" x14ac:dyDescent="0.25">
      <c r="O29" s="21"/>
      <c r="P29" s="22"/>
    </row>
    <row r="30" spans="1:16" x14ac:dyDescent="0.25">
      <c r="O30" s="21"/>
      <c r="P30" s="22"/>
    </row>
  </sheetData>
  <mergeCells count="1">
    <mergeCell ref="P6:P7"/>
  </mergeCells>
  <hyperlinks>
    <hyperlink ref="B22" r:id="rId1" display="https://sqlsaturday.com/2026-09-19-sqlsaturday1152/" xr:uid="{0D6A567B-FCB7-44A2-A51E-648C719A8354}"/>
    <hyperlink ref="B25" r:id="rId2" display="https://sqlsaturday.com/2026-10-03-sqlsaturday1150/" xr:uid="{D31F3CEB-8FBE-4CA1-97BB-2A40A92A8401}"/>
    <hyperlink ref="B26" r:id="rId3" display="https://sqlsaturday.com/2026-10-24-sqlsaturday1148/" xr:uid="{96299D66-5563-46A3-B76A-F680ABDD2206}"/>
    <hyperlink ref="B27" r:id="rId4" display="https://sqlsaturday.com/2026-10-24-sqlsaturday1153/" xr:uid="{4FAC5D40-7DBE-4A53-AFF9-C92E65F31759}"/>
    <hyperlink ref="B28" r:id="rId5" display="https://sqlsaturday.com/2026-11-07-sqlsaturday1149/" xr:uid="{45E94655-95AF-4485-A5A2-4A3DD7455E27}"/>
    <hyperlink ref="B21" r:id="rId6" display="https://sqlsaturday.com/2026-09-12-sqlsaturday1164/" xr:uid="{5E7F8464-7EFE-4379-AF7A-413F4F14ABD5}"/>
    <hyperlink ref="B23" r:id="rId7" display="https://sqlsaturday.com/2026-09-19-sqlsaturday1156/" xr:uid="{840B9723-899E-4E77-BBFA-21BF1FA89943}"/>
    <hyperlink ref="B24" r:id="rId8" display="https://sqlsaturday.com/2026-09-19-sqlsaturday1159/" xr:uid="{0795C785-E600-4CBB-BC80-E9889F632DF8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2026-10-05T16:01:19Z</dcterms:modified>
</cp:coreProperties>
</file>