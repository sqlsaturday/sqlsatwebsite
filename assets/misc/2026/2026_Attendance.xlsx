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9DFBF676-1384-4E42-9A5C-A73B70B8A893}" xr6:coauthVersionLast="47" xr6:coauthVersionMax="47" xr10:uidLastSave="{00000000-0000-0000-0000-000000000000}"/>
  <bookViews>
    <workbookView xWindow="-25845" yWindow="630" windowWidth="22860" windowHeight="13890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G25" i="2" s="1"/>
  <c r="B26" i="2"/>
  <c r="A26" i="2"/>
  <c r="B25" i="2"/>
  <c r="A25" i="2"/>
  <c r="B24" i="2"/>
  <c r="A24" i="2"/>
  <c r="H24" i="2"/>
  <c r="G24" i="2" s="1"/>
  <c r="H23" i="2"/>
  <c r="G23" i="2" s="1"/>
  <c r="H22" i="2"/>
  <c r="G22" i="2" s="1"/>
  <c r="H21" i="2"/>
  <c r="G21" i="2" s="1"/>
  <c r="H20" i="2"/>
  <c r="G20" i="2"/>
  <c r="H19" i="2"/>
  <c r="G19" i="2" s="1"/>
  <c r="H18" i="2"/>
  <c r="G18" i="2"/>
  <c r="H17" i="2"/>
  <c r="G17" i="2" s="1"/>
  <c r="H16" i="2"/>
  <c r="H15" i="2"/>
  <c r="H14" i="2"/>
  <c r="H13" i="2"/>
  <c r="G13" i="2" s="1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<sst xmlns="http://schemas.openxmlformats.org/spreadsheetml/2006/main" count="42" uniqueCount="39">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</sst>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0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3"/>
  <sheetViews>
    <sheetView tabSelected="1" workbookViewId="0">
      <selection activeCell="D12" sqref="D12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6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178</v>
      </c>
      <c r="D13" s="6">
        <v>82</v>
      </c>
      <c r="E13" s="7">
        <f t="shared" si="0"/>
        <v>0.5393258426966292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153</v>
      </c>
      <c r="D15" s="6">
        <v>146</v>
      </c>
      <c r="E15" s="7">
        <f t="shared" si="0"/>
        <v>4.5751633986928102E-2</v>
      </c>
    </row>
    <row r="16" spans="1:9" ht="19.5" customHeight="1" x14ac:dyDescent="0.25">
      <c r="A16" s="5">
        <v>46200</v>
      </c>
      <c r="B16" s="12" t="s">
        <v>30</v>
      </c>
      <c r="C16" s="6">
        <v>196</v>
      </c>
      <c r="D16" s="6">
        <v>128</v>
      </c>
      <c r="E16" s="7">
        <f t="shared" si="0"/>
        <v>0.34693877551020408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94</v>
      </c>
      <c r="D17" s="6">
        <v>81</v>
      </c>
      <c r="E17" s="7">
        <f t="shared" si="0"/>
        <v>0.13829787234042554</v>
      </c>
    </row>
    <row r="18" spans="1:5" ht="19.5" customHeight="1" x14ac:dyDescent="0.25">
      <c r="A18" s="10">
        <v>46221</v>
      </c>
      <c r="B18" s="12" t="s">
        <v>32</v>
      </c>
      <c r="C18" s="6">
        <v>0</v>
      </c>
      <c r="D18" s="6">
        <v>0</v>
      </c>
      <c r="E18" s="7">
        <f t="shared" si="0"/>
        <v>0</v>
      </c>
    </row>
    <row r="19" spans="1:5" ht="18.75" customHeight="1" x14ac:dyDescent="0.25">
      <c r="A19" s="10">
        <v>46242</v>
      </c>
      <c r="B19" s="12" t="s">
        <v>33</v>
      </c>
      <c r="C19" s="6">
        <v>0</v>
      </c>
      <c r="D19" s="6">
        <v>0</v>
      </c>
      <c r="E19" s="7">
        <f t="shared" si="0"/>
        <v>0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10">
        <v>46284</v>
      </c>
      <c r="B21" s="12" t="s">
        <v>34</v>
      </c>
      <c r="C21" s="6">
        <v>0</v>
      </c>
      <c r="D21" s="6">
        <v>0</v>
      </c>
      <c r="E21" s="7">
        <f t="shared" si="0"/>
        <v>0</v>
      </c>
    </row>
    <row r="22" spans="1:5" ht="18.75" customHeight="1" x14ac:dyDescent="0.25">
      <c r="A22" s="5">
        <v>46298</v>
      </c>
      <c r="B22" s="12" t="s">
        <v>35</v>
      </c>
      <c r="C22" s="6">
        <v>0</v>
      </c>
      <c r="D22" s="6">
        <v>0</v>
      </c>
      <c r="E22" s="7">
        <f t="shared" si="0"/>
        <v>0</v>
      </c>
    </row>
    <row r="23" spans="1:5" ht="18.75" customHeight="1" x14ac:dyDescent="0.25">
      <c r="A23" s="5">
        <v>46319</v>
      </c>
      <c r="B23" s="12" t="s">
        <v>36</v>
      </c>
      <c r="C23" s="6">
        <v>0</v>
      </c>
      <c r="D23" s="6">
        <v>0</v>
      </c>
      <c r="E23" s="7">
        <f t="shared" si="0"/>
        <v>0</v>
      </c>
    </row>
    <row r="24" spans="1:5" ht="18.75" customHeight="1" x14ac:dyDescent="0.25">
      <c r="A24" s="5">
        <v>46319</v>
      </c>
      <c r="B24" s="12" t="s">
        <v>37</v>
      </c>
      <c r="C24" s="6">
        <v>0</v>
      </c>
      <c r="D24" s="6">
        <v>0</v>
      </c>
      <c r="E24" s="7">
        <f t="shared" si="0"/>
        <v>0</v>
      </c>
    </row>
    <row r="25" spans="1:5" ht="18.75" customHeight="1" x14ac:dyDescent="0.25">
      <c r="A25" s="5">
        <v>46333</v>
      </c>
      <c r="B25" s="12" t="s">
        <v>38</v>
      </c>
      <c r="C25" s="6">
        <v>0</v>
      </c>
      <c r="D25" s="6">
        <v>0</v>
      </c>
      <c r="E25" s="7">
        <f t="shared" si="0"/>
        <v>0</v>
      </c>
    </row>
    <row r="26" spans="1:5" ht="18.75" customHeight="1" x14ac:dyDescent="0.25">
      <c r="A26" s="5"/>
      <c r="B26" s="12"/>
      <c r="E26" s="7">
        <f t="shared" si="0"/>
        <v>0</v>
      </c>
    </row>
    <row r="27" spans="1:5" ht="15.75" customHeight="1" x14ac:dyDescent="0.25">
      <c r="A27" s="5"/>
      <c r="B27" s="12"/>
      <c r="E27" s="7"/>
    </row>
    <row r="28" spans="1:5" ht="18.75" customHeight="1" x14ac:dyDescent="0.25">
      <c r="A28" s="5"/>
      <c r="B28" s="13"/>
      <c r="E28" s="7"/>
    </row>
    <row r="29" spans="1:5" ht="18.75" customHeight="1" x14ac:dyDescent="0.25">
      <c r="A29" s="5"/>
      <c r="B29" s="9"/>
      <c r="E29" s="7"/>
    </row>
    <row r="30" spans="1:5" ht="18.75" customHeight="1" x14ac:dyDescent="0.25">
      <c r="A30" s="5"/>
      <c r="B30" s="9"/>
      <c r="E30" s="7"/>
    </row>
    <row r="31" spans="1:5" ht="18.75" customHeight="1" x14ac:dyDescent="0.25">
      <c r="A31" s="5"/>
      <c r="B31" s="9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</sheetData>
  <sortState xmlns:xlrd2="http://schemas.microsoft.com/office/spreadsheetml/2017/richdata2" ref="A2:I34">
    <sortCondition ref="A2:A34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1" r:id="rId20" display="https://sqlsaturday.com/2026-09-19-sqlsaturday1152/" xr:uid="{1C24212F-ACFE-4FD3-A6CF-8E691EEA9C75}"/>
    <hyperlink ref="B22" r:id="rId21" display="https://sqlsaturday.com/2026-10-03-sqlsaturday1150/" xr:uid="{80072270-983F-4E6A-AFAE-3FC24DE448B3}"/>
    <hyperlink ref="B23" r:id="rId22" display="https://sqlsaturday.com/2026-10-24-sqlsaturday1148/" xr:uid="{111A5B01-58C6-46AB-81AC-567A7B3C8861}"/>
    <hyperlink ref="B24" r:id="rId23" display="https://sqlsaturday.com/2026-10-24-sqlsaturday1153/" xr:uid="{29A122E2-6150-4028-BEF4-E884CED9AA91}"/>
    <hyperlink ref="B25" r:id="rId24" display="https://sqlsaturday.com/2026-11-07-sqlsaturday1149/" xr:uid="{1C87B471-8BB8-47E8-8A2F-FEB250EAF056}"/>
  </hyperlinks>
  <pageMargins left="0.7" right="0.7" top="0.75" bottom="0.75" header="0.3" footer="0.3"/>
  <pageSetup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H26"/>
  <sheetViews>
    <sheetView workbookViewId="0">
      <selection activeCell="C14" sqref="C14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</cols>
  <sheetData>
    <row r="1" spans="1:8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8" x14ac:dyDescent="0.25">
      <c r="A2" s="10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8" x14ac:dyDescent="0.25">
      <c r="A3" s="10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8" x14ac:dyDescent="0.25">
      <c r="A4" s="10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8" x14ac:dyDescent="0.25">
      <c r="A5" s="10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8" x14ac:dyDescent="0.25">
      <c r="A6" s="10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</row>
    <row r="7" spans="1:8" x14ac:dyDescent="0.25">
      <c r="A7" s="10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</row>
    <row r="8" spans="1:8" x14ac:dyDescent="0.25">
      <c r="A8" s="10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</row>
    <row r="9" spans="1:8" x14ac:dyDescent="0.25">
      <c r="A9" s="10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</row>
    <row r="10" spans="1:8" x14ac:dyDescent="0.25">
      <c r="A10" s="10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</row>
    <row r="11" spans="1:8" x14ac:dyDescent="0.25">
      <c r="A11" s="10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</row>
    <row r="12" spans="1:8" x14ac:dyDescent="0.25">
      <c r="A12" s="10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</row>
    <row r="13" spans="1:8" x14ac:dyDescent="0.25">
      <c r="A13" s="10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4" si="3">+H13-SUM(C13:F13)</f>
        <v>178</v>
      </c>
      <c r="H13" s="8">
        <f>+Attendance!C13</f>
        <v>178</v>
      </c>
    </row>
    <row r="14" spans="1:8" x14ac:dyDescent="0.25">
      <c r="A14" s="10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</row>
    <row r="15" spans="1:8" x14ac:dyDescent="0.25">
      <c r="A15" s="10">
        <f>+Attendance!A15</f>
        <v>46186</v>
      </c>
      <c r="B15" s="10" t="str">
        <f>+Attendance!B15</f>
        <v>SQL Saturday Croatia 2026 (#1134)</v>
      </c>
      <c r="C15">
        <v>22</v>
      </c>
      <c r="D15">
        <v>5</v>
      </c>
      <c r="E15">
        <v>23</v>
      </c>
      <c r="F15">
        <v>19</v>
      </c>
      <c r="G15" s="8">
        <v>72</v>
      </c>
      <c r="H15" s="8">
        <f>+Attendance!C15</f>
        <v>153</v>
      </c>
    </row>
    <row r="16" spans="1:8" x14ac:dyDescent="0.25">
      <c r="A16" s="10">
        <f>+Attendance!A16</f>
        <v>46200</v>
      </c>
      <c r="B16" s="10" t="str">
        <f>+Attendance!B16</f>
        <v>SQL Saturday CXS 2026 (#1151)</v>
      </c>
      <c r="C16">
        <v>16</v>
      </c>
      <c r="D16">
        <v>42</v>
      </c>
      <c r="E16">
        <v>18</v>
      </c>
      <c r="F16">
        <v>31</v>
      </c>
      <c r="G16" s="8">
        <v>23</v>
      </c>
      <c r="H16" s="8">
        <f>+Attendance!C16</f>
        <v>196</v>
      </c>
    </row>
    <row r="17" spans="1:8" x14ac:dyDescent="0.25">
      <c r="A17" s="10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94</v>
      </c>
      <c r="H17" s="8">
        <f>+Attendance!C17</f>
        <v>94</v>
      </c>
    </row>
    <row r="18" spans="1:8" x14ac:dyDescent="0.25">
      <c r="A18" s="10">
        <f>+Attendance!A18</f>
        <v>46221</v>
      </c>
      <c r="B18" s="10" t="str">
        <f>+Attendance!B18</f>
        <v>Day of Data Baton Rouge 2026 (#1141)</v>
      </c>
      <c r="C18">
        <v>0</v>
      </c>
      <c r="D18">
        <v>0</v>
      </c>
      <c r="E18">
        <v>0</v>
      </c>
      <c r="F18">
        <v>0</v>
      </c>
      <c r="G18" s="8">
        <f t="shared" si="3"/>
        <v>0</v>
      </c>
      <c r="H18" s="8">
        <f>+Attendance!C18</f>
        <v>0</v>
      </c>
    </row>
    <row r="19" spans="1:8" x14ac:dyDescent="0.25">
      <c r="A19" s="10">
        <f>+Attendance!A19</f>
        <v>46242</v>
      </c>
      <c r="B19" s="10" t="str">
        <f>+Attendance!B19</f>
        <v>Day of Data Albany 2026 (#1144)</v>
      </c>
      <c r="C19">
        <v>0</v>
      </c>
      <c r="D19">
        <v>0</v>
      </c>
      <c r="E19">
        <v>0</v>
      </c>
      <c r="F19">
        <v>0</v>
      </c>
      <c r="G19" s="8">
        <f t="shared" si="3"/>
        <v>0</v>
      </c>
      <c r="H19" s="8">
        <f>+Attendance!C19</f>
        <v>0</v>
      </c>
    </row>
    <row r="20" spans="1:8" x14ac:dyDescent="0.25">
      <c r="A20" s="10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</row>
    <row r="21" spans="1:8" x14ac:dyDescent="0.25">
      <c r="A21" s="10">
        <f>+Attendance!A21</f>
        <v>46284</v>
      </c>
      <c r="B21" s="10" t="str">
        <f>+Attendance!B21</f>
        <v>Salt Lake City Day of Data 2026 (#1152)</v>
      </c>
      <c r="C21">
        <v>0</v>
      </c>
      <c r="D21">
        <v>0</v>
      </c>
      <c r="E21">
        <v>0</v>
      </c>
      <c r="F21">
        <v>0</v>
      </c>
      <c r="G21" s="8">
        <f t="shared" si="3"/>
        <v>0</v>
      </c>
      <c r="H21" s="8">
        <f>+Attendance!C21</f>
        <v>0</v>
      </c>
    </row>
    <row r="22" spans="1:8" x14ac:dyDescent="0.25">
      <c r="A22" s="10">
        <f>+Attendance!A22</f>
        <v>46298</v>
      </c>
      <c r="B22" s="10" t="str">
        <f>+Attendance!B22</f>
        <v>Boston Data and AI Saturday 2026 (#1150)</v>
      </c>
      <c r="C22">
        <v>0</v>
      </c>
      <c r="D22">
        <v>0</v>
      </c>
      <c r="E22">
        <v>0</v>
      </c>
      <c r="F22">
        <v>0</v>
      </c>
      <c r="G22" s="8">
        <f t="shared" si="3"/>
        <v>0</v>
      </c>
      <c r="H22" s="8">
        <f>+Attendance!C22</f>
        <v>0</v>
      </c>
    </row>
    <row r="23" spans="1:8" x14ac:dyDescent="0.25">
      <c r="A23" s="10">
        <f>+Attendance!A23</f>
        <v>46319</v>
      </c>
      <c r="B23" s="10" t="str">
        <f>+Attendance!B23</f>
        <v>Day of Data St Louis 2026 (#1148)</v>
      </c>
      <c r="C23">
        <v>0</v>
      </c>
      <c r="D23">
        <v>0</v>
      </c>
      <c r="E23">
        <v>0</v>
      </c>
      <c r="F23">
        <v>0</v>
      </c>
      <c r="G23" s="8">
        <f t="shared" si="3"/>
        <v>0</v>
      </c>
      <c r="H23" s="8">
        <f>+Attendance!C23</f>
        <v>0</v>
      </c>
    </row>
    <row r="24" spans="1:8" x14ac:dyDescent="0.25">
      <c r="A24" s="10">
        <f>+Attendance!A24</f>
        <v>46319</v>
      </c>
      <c r="B24" s="10" t="str">
        <f>+Attendance!B24</f>
        <v>SQL Saturday Minnesota 2026 (#1153)</v>
      </c>
      <c r="C24">
        <v>0</v>
      </c>
      <c r="D24">
        <v>0</v>
      </c>
      <c r="E24">
        <v>0</v>
      </c>
      <c r="F24">
        <v>0</v>
      </c>
      <c r="G24" s="8">
        <f t="shared" si="3"/>
        <v>0</v>
      </c>
      <c r="H24" s="8">
        <f>+Attendance!C24</f>
        <v>0</v>
      </c>
    </row>
    <row r="25" spans="1:8" x14ac:dyDescent="0.25">
      <c r="A25" s="10">
        <f>+Attendance!A25</f>
        <v>46333</v>
      </c>
      <c r="B25" s="10" t="str">
        <f>+Attendance!B25</f>
        <v>Day of Data PNW 2026 (#1149)</v>
      </c>
      <c r="C25">
        <v>0</v>
      </c>
      <c r="D25">
        <v>0</v>
      </c>
      <c r="E25">
        <v>0</v>
      </c>
      <c r="F25">
        <v>0</v>
      </c>
      <c r="G25" s="8">
        <f t="shared" ref="G25" si="4">+H25-SUM(C25:F25)</f>
        <v>0</v>
      </c>
      <c r="H25" s="8">
        <f>+Attendance!C25</f>
        <v>0</v>
      </c>
    </row>
    <row r="26" spans="1:8" x14ac:dyDescent="0.25">
      <c r="A26" s="10">
        <f>+Attendance!A26</f>
        <v>0</v>
      </c>
      <c r="B26" s="10">
        <f>+Attendance!B26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2026-07-07T19:00:06Z</dcterms:modified>
</cp:coreProperties>
</file>