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ocuments\git\sqlsatwebsite\assets\misc\2026\"/>
    </mc:Choice>
  </mc:AlternateContent>
  <xr:revisionPtr revIDLastSave="0" documentId="13_ncr:1_{DF042CDF-35DF-4E93-83C5-5214A96456C6}" xr6:coauthVersionLast="47" xr6:coauthVersionMax="47" xr10:uidLastSave="{00000000-0000-0000-0000-000000000000}"/>
  <bookViews>
    <workbookView xWindow="-25695" yWindow="75" windowWidth="25260" windowHeight="15210" activeTab="1" xr2:uid="{00000000-000D-0000-FFFF-FFFF00000000}"/>
  </bookViews>
  <sheets>
    <sheet name="Attendance" sheetId="1" r:id="rId1"/>
    <sheet name="Jo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2" l="1"/>
  <c r="G25" i="2" s="1"/>
  <c r="E25" i="1"/>
  <c r="E28" i="1"/>
  <c r="E27" i="1"/>
  <c r="H27" i="2"/>
  <c r="G27" i="2" s="1"/>
  <c r="H28" i="2"/>
  <c r="G28" i="2" s="1"/>
  <c r="H29" i="2"/>
  <c r="G29" i="2" s="1"/>
  <c r="H32" i="2"/>
  <c r="G32" i="2" s="1"/>
  <c r="H31" i="2"/>
  <c r="G31" i="2" s="1"/>
  <c r="H30" i="2"/>
  <c r="G30" i="2" s="1"/>
  <c r="H26" i="2"/>
  <c r="G26" i="2" s="1"/>
  <c r="H23" i="2"/>
  <c r="G23" i="2" s="1"/>
  <c r="H22" i="2"/>
  <c r="G22" i="2" s="1"/>
  <c r="H21" i="2"/>
  <c r="G21" i="2" s="1"/>
  <c r="H20" i="2"/>
  <c r="G20" i="2" s="1"/>
  <c r="H24" i="2"/>
  <c r="G24" i="2" s="1"/>
  <c r="E24" i="1"/>
  <c r="E21" i="1"/>
  <c r="E23" i="1"/>
  <c r="H19" i="2"/>
  <c r="H18" i="2"/>
  <c r="G18" i="2" s="1"/>
  <c r="H17" i="2"/>
  <c r="G17" i="2" s="1"/>
  <c r="H16" i="2"/>
  <c r="H15" i="2"/>
  <c r="H14" i="2"/>
  <c r="H13" i="2"/>
  <c r="G13" i="2" s="1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F7" i="2"/>
  <c r="H12" i="2"/>
  <c r="G12" i="2" s="1"/>
  <c r="H11" i="2"/>
  <c r="G11" i="2" s="1"/>
  <c r="H10" i="2"/>
  <c r="G10" i="2" s="1"/>
  <c r="H9" i="2"/>
  <c r="G9" i="2" s="1"/>
  <c r="H8" i="2"/>
  <c r="G8" i="2" s="1"/>
  <c r="H7" i="2"/>
  <c r="H6" i="2"/>
  <c r="G6" i="2" s="1"/>
  <c r="H5" i="2"/>
  <c r="G5" i="2" s="1"/>
  <c r="H4" i="2"/>
  <c r="G4" i="2" s="1"/>
  <c r="H3" i="2"/>
  <c r="G3" i="2" s="1"/>
  <c r="H2" i="2"/>
  <c r="G2" i="2" s="1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E32" i="1"/>
  <c r="E31" i="1"/>
  <c r="E30" i="1"/>
  <c r="E29" i="1"/>
  <c r="E26" i="1"/>
  <c r="E22" i="1"/>
  <c r="E20" i="1"/>
  <c r="E19" i="1"/>
  <c r="E18" i="1"/>
  <c r="E17" i="1"/>
  <c r="E16" i="1"/>
  <c r="E15" i="1"/>
  <c r="E14" i="1"/>
  <c r="E13" i="1"/>
  <c r="E11" i="1"/>
  <c r="E10" i="1"/>
  <c r="E9" i="1"/>
  <c r="E8" i="1"/>
  <c r="E6" i="1"/>
  <c r="E4" i="1"/>
  <c r="E7" i="1"/>
  <c r="E5" i="1"/>
  <c r="E3" i="1"/>
  <c r="E12" i="1"/>
  <c r="E2" i="1"/>
  <c r="G7" i="2" l="1"/>
</calcChain>
</file>

<file path=xl/sharedStrings.xml><?xml version="1.0" encoding="utf-8"?>
<sst xmlns="http://schemas.openxmlformats.org/spreadsheetml/2006/main" count="60" uniqueCount="45">
  <si>
    <t>Date</t>
  </si>
  <si>
    <t>Event</t>
  </si>
  <si>
    <t>Registered</t>
  </si>
  <si>
    <t>Attended</t>
  </si>
  <si>
    <t>No show rate</t>
  </si>
  <si>
    <t>Waitlist</t>
  </si>
  <si>
    <t>Recordings</t>
  </si>
  <si>
    <t>Charge For Lunch</t>
  </si>
  <si>
    <t>Notes</t>
  </si>
  <si>
    <t>Lost a box of tickets. Not everyone was scanned in. We gave away at least 350 bags.</t>
  </si>
  <si>
    <t>SQL Saturday Lima 2026 (#1138)</t>
  </si>
  <si>
    <t>SQL Saturday Belo Horizonte 2026 (#1132)</t>
  </si>
  <si>
    <t>SQL Saturday Atlanta 2026 - AI &amp; BI (#1127)</t>
  </si>
  <si>
    <t>SQL Saturday Joinville 2026 (#1139)</t>
  </si>
  <si>
    <t>SeaQL 2026 - Brouwersdam, NL (#1140)</t>
  </si>
  <si>
    <t>SQL Saturday Sao Paulo 2026 (#1142)</t>
  </si>
  <si>
    <t>Day of Data Richmond 2026 (#1135)</t>
  </si>
  <si>
    <t>Houston Ai-Lytics Day 2026 (#1137)</t>
  </si>
  <si>
    <t>SQL Saturday Arequipa 2026 (#1147)</t>
  </si>
  <si>
    <t>Day of Data Jacksonville 2026 (#1128)</t>
  </si>
  <si>
    <t>SQL Saturday Haiti 2026 (#1145) - Virtual</t>
  </si>
  <si>
    <t>Architects</t>
  </si>
  <si>
    <t>App Dev</t>
  </si>
  <si>
    <t>DBA</t>
  </si>
  <si>
    <t>Data Engineer</t>
  </si>
  <si>
    <t>Other</t>
  </si>
  <si>
    <t>Total</t>
  </si>
  <si>
    <t>Day of Data Raleigh 2026 (#1143)</t>
  </si>
  <si>
    <t>Day of Data Wellington 2026 (#1146)</t>
  </si>
  <si>
    <t>SQL Saturday Croatia 2026 (#1134)</t>
  </si>
  <si>
    <t>SQL Saturday CXS 2026 (#1151)</t>
  </si>
  <si>
    <t>SQL Saturday Austin 2026 (#1154)</t>
  </si>
  <si>
    <t>Day of Data Baton Rouge 2026 (#1141)</t>
  </si>
  <si>
    <t>Day of Data Albany 2026 (#1144)</t>
  </si>
  <si>
    <t>Salt Lake City Day of Data 2026 (#1152)</t>
  </si>
  <si>
    <t>Boston Data and AI Saturday 2026 (#1150)</t>
  </si>
  <si>
    <t>Day of Data St Louis 2026 (#1148)</t>
  </si>
  <si>
    <t>SQL Saturday Minnesota 2026 (#1153)</t>
  </si>
  <si>
    <t>Day of Data PNW 2026 (#1149)</t>
  </si>
  <si>
    <t>Day of Data Detroit 2026 (#1164)</t>
  </si>
  <si>
    <t>Day of Data Vitória 2026 (#1156)</t>
  </si>
  <si>
    <t>Day of Data Winnipeg 2026 (#1159)</t>
  </si>
  <si>
    <t>SQL Saturday Floripa 2026 (#1158)</t>
  </si>
  <si>
    <t>Day of Data Orlando 2026 (#1161)</t>
  </si>
  <si>
    <t>Day of Data Toronto 2026 (#1160)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</si>
</sst>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%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5">
    <xf numFmtId="0" fontId="0" fillId="0" borderId="0" xfId="0"/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0" fillId="0" borderId="0" xfId="0" applyNumberFormat="1"/>
    <xf numFmtId="0" fontId="3" fillId="0" borderId="1" xfId="0" applyFont="1" applyBorder="1" applyAlignment="1">
      <alignment horizontal="left" wrapText="1"/>
    </xf>
    <xf numFmtId="14" fontId="0" fillId="0" borderId="0" xfId="0" applyNumberFormat="1"/>
    <xf numFmtId="164" fontId="0" fillId="0" borderId="0" xfId="0" applyNumberFormat="1"/>
    <xf numFmtId="0" fontId="4" fillId="0" borderId="0" xfId="1"/>
    <xf numFmtId="0" fontId="2" fillId="0" borderId="1" xfId="0" applyFont="1" applyBorder="1" applyAlignment="1">
      <alignment horizontal="left" wrapText="1"/>
    </xf>
    <xf numFmtId="0" fontId="4" fillId="0" borderId="0" xfId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2" fillId="0" borderId="0" xfId="0" applyNumberFormat="1" applyFont="1" applyAlignment="1">
      <alignment horizontal="left"/>
    </xf>
    <xf numFmtId="3" fontId="0" fillId="0" borderId="1" xfId="0" applyNumberFormat="1" applyBorder="1"/>
    <xf numFmtId="3" fontId="2" fillId="0" borderId="0" xfId="0" applyNumberFormat="1" applyFont="1" applyAlignment="1">
      <alignment horizontal="right"/>
    </xf>
    <xf numFmtId="1" fontId="0" fillId="0" borderId="0" xfId="2" applyNumberFormat="1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14" fontId="2" fillId="0" borderId="1" xfId="0" applyNumberFormat="1" applyFont="1" applyBorder="1"/>
    <xf numFmtId="0" fontId="6" fillId="0" borderId="0" xfId="0" applyFont="1" applyAlignment="1">
      <alignment horizontal="right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6-04-25-sqlsaturday1137/" TargetMode="External"/><Relationship Id="rId13" Type="http://schemas.openxmlformats.org/officeDocument/2006/relationships/hyperlink" Target="https://sqlsaturday.com/2026-05-23-sqlsaturday1143/" TargetMode="External"/><Relationship Id="rId18" Type="http://schemas.openxmlformats.org/officeDocument/2006/relationships/hyperlink" Target="https://sqlsaturday.com/2026-07-18-sqlsaturday1141/" TargetMode="External"/><Relationship Id="rId26" Type="http://schemas.openxmlformats.org/officeDocument/2006/relationships/hyperlink" Target="https://sqlsaturday.com/2026-09-19-sqlsaturday1156/" TargetMode="External"/><Relationship Id="rId3" Type="http://schemas.openxmlformats.org/officeDocument/2006/relationships/hyperlink" Target="https://sqlsaturday.com/2026-03-21-sqlsaturday1127/" TargetMode="External"/><Relationship Id="rId21" Type="http://schemas.openxmlformats.org/officeDocument/2006/relationships/hyperlink" Target="https://sqlsaturday.com/2026-10-03-sqlsaturday1150/" TargetMode="External"/><Relationship Id="rId7" Type="http://schemas.openxmlformats.org/officeDocument/2006/relationships/hyperlink" Target="https://sqlsaturday.com/2026-04-11-sqlsaturday1135/" TargetMode="External"/><Relationship Id="rId12" Type="http://schemas.openxmlformats.org/officeDocument/2006/relationships/hyperlink" Target="https://sqlsaturday.com/2026-02-28-sqlsaturday1132/" TargetMode="External"/><Relationship Id="rId17" Type="http://schemas.openxmlformats.org/officeDocument/2006/relationships/hyperlink" Target="https://sqlsaturday.com/2026-06-27-sqlsaturday1154/" TargetMode="External"/><Relationship Id="rId25" Type="http://schemas.openxmlformats.org/officeDocument/2006/relationships/hyperlink" Target="https://sqlsaturday.com/2026-09-12-sqlsaturday1164/" TargetMode="External"/><Relationship Id="rId2" Type="http://schemas.openxmlformats.org/officeDocument/2006/relationships/hyperlink" Target="https://sqlsaturday.com/2026-02-28-sqlsaturday1132/" TargetMode="External"/><Relationship Id="rId16" Type="http://schemas.openxmlformats.org/officeDocument/2006/relationships/hyperlink" Target="https://sqlsaturday.com/2026-06-27-sqlsaturday1151/" TargetMode="External"/><Relationship Id="rId20" Type="http://schemas.openxmlformats.org/officeDocument/2006/relationships/hyperlink" Target="https://sqlsaturday.com/2026-09-19-sqlsaturday1152/" TargetMode="External"/><Relationship Id="rId29" Type="http://schemas.openxmlformats.org/officeDocument/2006/relationships/hyperlink" Target="https://sqlsaturday.com/2026-10-17-sqlsaturday1161/" TargetMode="External"/><Relationship Id="rId1" Type="http://schemas.openxmlformats.org/officeDocument/2006/relationships/hyperlink" Target="https://sqlsaturday.com/2026-01-17-sqlsaturday1138/" TargetMode="External"/><Relationship Id="rId6" Type="http://schemas.openxmlformats.org/officeDocument/2006/relationships/hyperlink" Target="https://sqlsaturday.com/2026-03-28-sqlsaturday1142/" TargetMode="External"/><Relationship Id="rId11" Type="http://schemas.openxmlformats.org/officeDocument/2006/relationships/hyperlink" Target="https://sqlsaturday.com/2026-05-16-sqlsaturday1145/" TargetMode="External"/><Relationship Id="rId24" Type="http://schemas.openxmlformats.org/officeDocument/2006/relationships/hyperlink" Target="https://sqlsaturday.com/2026-11-07-sqlsaturday1149/" TargetMode="External"/><Relationship Id="rId5" Type="http://schemas.openxmlformats.org/officeDocument/2006/relationships/hyperlink" Target="https://sqlsaturday.com/2026-04-18-sqlsaturday1140/" TargetMode="External"/><Relationship Id="rId15" Type="http://schemas.openxmlformats.org/officeDocument/2006/relationships/hyperlink" Target="https://sqlsaturday.com/2026-06-13-sqlsaturday1134/" TargetMode="External"/><Relationship Id="rId23" Type="http://schemas.openxmlformats.org/officeDocument/2006/relationships/hyperlink" Target="https://sqlsaturday.com/2026-10-24-sqlsaturday1153/" TargetMode="External"/><Relationship Id="rId28" Type="http://schemas.openxmlformats.org/officeDocument/2006/relationships/hyperlink" Target="https://sqlsaturday.com/2026-10-17-sqlsaturday1158/" TargetMode="External"/><Relationship Id="rId10" Type="http://schemas.openxmlformats.org/officeDocument/2006/relationships/hyperlink" Target="https://sqlsaturday.com/2026-05-02-sqlsaturday1128/" TargetMode="External"/><Relationship Id="rId19" Type="http://schemas.openxmlformats.org/officeDocument/2006/relationships/hyperlink" Target="https://sqlsaturday.com/2026-08-08-sqlsaturday1144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sqlsaturday.com/2026-04-11-sqlsaturday1139/" TargetMode="External"/><Relationship Id="rId9" Type="http://schemas.openxmlformats.org/officeDocument/2006/relationships/hyperlink" Target="https://sqlsaturday.com/2026-04-25-sqlsaturday1147/" TargetMode="External"/><Relationship Id="rId14" Type="http://schemas.openxmlformats.org/officeDocument/2006/relationships/hyperlink" Target="https://sqlsaturday.com/2026-05-30-sqlsaturday1146/" TargetMode="External"/><Relationship Id="rId22" Type="http://schemas.openxmlformats.org/officeDocument/2006/relationships/hyperlink" Target="https://sqlsaturday.com/2026-10-24-sqlsaturday1148/" TargetMode="External"/><Relationship Id="rId27" Type="http://schemas.openxmlformats.org/officeDocument/2006/relationships/hyperlink" Target="https://sqlsaturday.com/2026-09-19-sqlsaturday1159/" TargetMode="External"/><Relationship Id="rId30" Type="http://schemas.openxmlformats.org/officeDocument/2006/relationships/hyperlink" Target="https://sqlsaturday.com/2026-09-26-sqlsaturday1160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qlsaturday.com/2026-09-19-sqlsaturday1159/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sqlsaturday.com/2026-10-24-sqlsaturday1148/" TargetMode="External"/><Relationship Id="rId7" Type="http://schemas.openxmlformats.org/officeDocument/2006/relationships/hyperlink" Target="https://sqlsaturday.com/2026-09-19-sqlsaturday1156/" TargetMode="External"/><Relationship Id="rId12" Type="http://schemas.openxmlformats.org/officeDocument/2006/relationships/hyperlink" Target="https://sqlsaturday.com/2026-09-26-sqlsaturday1160/" TargetMode="External"/><Relationship Id="rId2" Type="http://schemas.openxmlformats.org/officeDocument/2006/relationships/hyperlink" Target="https://sqlsaturday.com/2026-10-03-sqlsaturday1150/" TargetMode="External"/><Relationship Id="rId1" Type="http://schemas.openxmlformats.org/officeDocument/2006/relationships/hyperlink" Target="https://sqlsaturday.com/2026-09-19-sqlsaturday1152/" TargetMode="External"/><Relationship Id="rId6" Type="http://schemas.openxmlformats.org/officeDocument/2006/relationships/hyperlink" Target="https://sqlsaturday.com/2026-09-12-sqlsaturday1164/" TargetMode="External"/><Relationship Id="rId11" Type="http://schemas.openxmlformats.org/officeDocument/2006/relationships/hyperlink" Target="https://sqlsaturday.com/2026-10-17-sqlsaturday1161/" TargetMode="External"/><Relationship Id="rId5" Type="http://schemas.openxmlformats.org/officeDocument/2006/relationships/hyperlink" Target="https://sqlsaturday.com/2026-11-07-sqlsaturday1149/" TargetMode="External"/><Relationship Id="rId10" Type="http://schemas.openxmlformats.org/officeDocument/2006/relationships/hyperlink" Target="https://sqlsaturday.com/2026-10-17-sqlsaturday1158/" TargetMode="External"/><Relationship Id="rId4" Type="http://schemas.openxmlformats.org/officeDocument/2006/relationships/hyperlink" Target="https://sqlsaturday.com/2026-10-24-sqlsaturday1153/" TargetMode="External"/><Relationship Id="rId9" Type="http://schemas.openxmlformats.org/officeDocument/2006/relationships/hyperlink" Target="https://sqlsaturday.com/2026-10-17-sqlsaturday11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39"/>
  <sheetViews>
    <sheetView topLeftCell="A9" workbookViewId="0">
      <selection activeCell="D26" sqref="D26"/>
    </sheetView>
  </sheetViews>
  <sheetFormatPr defaultRowHeight="15" x14ac:dyDescent="0.25"/>
  <cols>
    <col min="1" max="1" width="10.7109375" style="10" bestFit="1" customWidth="1"/>
    <col min="2" max="2" width="50.7109375" bestFit="1" customWidth="1"/>
    <col min="3" max="3" width="14.85546875" style="8" bestFit="1" customWidth="1"/>
    <col min="4" max="4" width="16.28515625" style="8" bestFit="1" customWidth="1"/>
    <col min="5" max="5" width="15.5703125" style="11" bestFit="1" customWidth="1"/>
    <col min="6" max="9" width="13.5703125" bestFit="1" customWidth="1"/>
  </cols>
  <sheetData>
    <row r="1" spans="1:9" ht="19.5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.5" customHeight="1" x14ac:dyDescent="0.25">
      <c r="A2" s="5">
        <v>46039</v>
      </c>
      <c r="B2" s="12" t="s">
        <v>10</v>
      </c>
      <c r="C2" s="6">
        <v>298</v>
      </c>
      <c r="D2" s="6">
        <v>108</v>
      </c>
      <c r="E2" s="7">
        <f t="shared" ref="E2:E32" si="0">IF(C2=0,0,+(C2-D2)/C2)</f>
        <v>0.63758389261744963</v>
      </c>
    </row>
    <row r="3" spans="1:9" ht="19.5" customHeight="1" x14ac:dyDescent="0.25">
      <c r="A3" s="5">
        <v>46102</v>
      </c>
      <c r="B3" s="12" t="s">
        <v>12</v>
      </c>
      <c r="C3" s="6">
        <v>464</v>
      </c>
      <c r="D3" s="6">
        <v>257</v>
      </c>
      <c r="E3" s="7">
        <f t="shared" si="0"/>
        <v>0.44612068965517243</v>
      </c>
    </row>
    <row r="4" spans="1:9" ht="19.5" customHeight="1" x14ac:dyDescent="0.25">
      <c r="A4" s="5">
        <v>46109</v>
      </c>
      <c r="B4" s="12" t="s">
        <v>15</v>
      </c>
      <c r="C4" s="6">
        <v>220</v>
      </c>
      <c r="D4" s="6">
        <v>200</v>
      </c>
      <c r="E4" s="7">
        <f t="shared" si="0"/>
        <v>9.0909090909090912E-2</v>
      </c>
    </row>
    <row r="5" spans="1:9" ht="19.5" customHeight="1" x14ac:dyDescent="0.25">
      <c r="A5" s="5">
        <v>46123</v>
      </c>
      <c r="B5" s="12" t="s">
        <v>13</v>
      </c>
      <c r="C5" s="6">
        <v>680</v>
      </c>
      <c r="D5" s="6">
        <v>450</v>
      </c>
      <c r="E5" s="7">
        <f t="shared" si="0"/>
        <v>0.33823529411764708</v>
      </c>
    </row>
    <row r="6" spans="1:9" ht="19.5" customHeight="1" x14ac:dyDescent="0.25">
      <c r="A6" s="16">
        <v>46123</v>
      </c>
      <c r="B6" s="12" t="s">
        <v>16</v>
      </c>
      <c r="C6" s="17">
        <v>167</v>
      </c>
      <c r="D6" s="17">
        <v>96</v>
      </c>
      <c r="E6" s="7">
        <f t="shared" si="0"/>
        <v>0.42514970059880242</v>
      </c>
    </row>
    <row r="7" spans="1:9" ht="19.5" customHeight="1" x14ac:dyDescent="0.25">
      <c r="A7" s="15">
        <v>46130</v>
      </c>
      <c r="B7" s="14" t="s">
        <v>14</v>
      </c>
      <c r="C7" s="6">
        <v>134</v>
      </c>
      <c r="D7" s="6">
        <v>118</v>
      </c>
      <c r="E7" s="7">
        <f t="shared" si="0"/>
        <v>0.11940298507462686</v>
      </c>
    </row>
    <row r="8" spans="1:9" ht="19.5" customHeight="1" x14ac:dyDescent="0.25">
      <c r="A8" s="5">
        <v>46137</v>
      </c>
      <c r="B8" s="12" t="s">
        <v>17</v>
      </c>
      <c r="C8" s="18">
        <v>156</v>
      </c>
      <c r="D8" s="18">
        <v>145</v>
      </c>
      <c r="E8" s="7">
        <f t="shared" si="0"/>
        <v>7.0512820512820512E-2</v>
      </c>
    </row>
    <row r="9" spans="1:9" ht="19.5" customHeight="1" x14ac:dyDescent="0.25">
      <c r="A9" s="5">
        <v>46137</v>
      </c>
      <c r="B9" s="12" t="s">
        <v>18</v>
      </c>
      <c r="C9" s="6">
        <v>64</v>
      </c>
      <c r="D9" s="6">
        <v>42</v>
      </c>
      <c r="E9" s="7">
        <f t="shared" si="0"/>
        <v>0.34375</v>
      </c>
    </row>
    <row r="10" spans="1:9" ht="19.5" customHeight="1" x14ac:dyDescent="0.25">
      <c r="A10" s="5">
        <v>46144</v>
      </c>
      <c r="B10" s="12" t="s">
        <v>19</v>
      </c>
      <c r="C10" s="6">
        <v>534</v>
      </c>
      <c r="D10" s="6">
        <v>371</v>
      </c>
      <c r="E10" s="7">
        <f t="shared" si="0"/>
        <v>0.30524344569288392</v>
      </c>
    </row>
    <row r="11" spans="1:9" ht="19.5" customHeight="1" x14ac:dyDescent="0.25">
      <c r="A11" s="5">
        <v>46158</v>
      </c>
      <c r="B11" s="12" t="s">
        <v>20</v>
      </c>
      <c r="C11" s="6">
        <v>70</v>
      </c>
      <c r="D11" s="6">
        <v>107</v>
      </c>
      <c r="E11" s="7">
        <f t="shared" si="0"/>
        <v>-0.52857142857142858</v>
      </c>
    </row>
    <row r="12" spans="1:9" ht="19.5" customHeight="1" x14ac:dyDescent="0.25">
      <c r="A12" s="5">
        <v>46256</v>
      </c>
      <c r="B12" s="12" t="s">
        <v>11</v>
      </c>
      <c r="C12" s="6">
        <v>0</v>
      </c>
      <c r="D12" s="6">
        <v>0</v>
      </c>
      <c r="E12" s="7">
        <f t="shared" si="0"/>
        <v>0</v>
      </c>
    </row>
    <row r="13" spans="1:9" ht="19.5" customHeight="1" x14ac:dyDescent="0.25">
      <c r="A13" s="5">
        <v>46165</v>
      </c>
      <c r="B13" s="12" t="s">
        <v>27</v>
      </c>
      <c r="C13" s="6">
        <v>178</v>
      </c>
      <c r="D13" s="6">
        <v>82</v>
      </c>
      <c r="E13" s="7">
        <f t="shared" si="0"/>
        <v>0.5393258426966292</v>
      </c>
    </row>
    <row r="14" spans="1:9" ht="19.5" customHeight="1" x14ac:dyDescent="0.25">
      <c r="A14" s="5">
        <v>46172</v>
      </c>
      <c r="B14" s="12" t="s">
        <v>28</v>
      </c>
      <c r="C14" s="6">
        <v>36</v>
      </c>
      <c r="D14" s="6">
        <v>25</v>
      </c>
      <c r="E14" s="7">
        <f t="shared" si="0"/>
        <v>0.30555555555555558</v>
      </c>
    </row>
    <row r="15" spans="1:9" ht="19.5" customHeight="1" x14ac:dyDescent="0.25">
      <c r="A15" s="5">
        <v>46186</v>
      </c>
      <c r="B15" s="12" t="s">
        <v>29</v>
      </c>
      <c r="C15" s="6">
        <v>153</v>
      </c>
      <c r="D15" s="6">
        <v>146</v>
      </c>
      <c r="E15" s="7">
        <f t="shared" si="0"/>
        <v>4.5751633986928102E-2</v>
      </c>
    </row>
    <row r="16" spans="1:9" ht="19.5" customHeight="1" x14ac:dyDescent="0.25">
      <c r="A16" s="5">
        <v>46200</v>
      </c>
      <c r="B16" s="12" t="s">
        <v>30</v>
      </c>
      <c r="C16" s="6">
        <v>196</v>
      </c>
      <c r="D16" s="6">
        <v>128</v>
      </c>
      <c r="E16" s="7">
        <f t="shared" si="0"/>
        <v>0.34693877551020408</v>
      </c>
      <c r="I16" t="s">
        <v>9</v>
      </c>
    </row>
    <row r="17" spans="1:5" ht="19.5" customHeight="1" x14ac:dyDescent="0.25">
      <c r="A17" s="10">
        <v>46200</v>
      </c>
      <c r="B17" s="12" t="s">
        <v>31</v>
      </c>
      <c r="C17" s="6">
        <v>94</v>
      </c>
      <c r="D17" s="6">
        <v>81</v>
      </c>
      <c r="E17" s="7">
        <f t="shared" si="0"/>
        <v>0.13829787234042554</v>
      </c>
    </row>
    <row r="18" spans="1:5" ht="19.5" customHeight="1" x14ac:dyDescent="0.25">
      <c r="A18" s="10">
        <v>46221</v>
      </c>
      <c r="B18" s="12" t="s">
        <v>32</v>
      </c>
      <c r="C18" s="6">
        <v>611</v>
      </c>
      <c r="D18" s="6">
        <v>349</v>
      </c>
      <c r="E18" s="7">
        <f t="shared" si="0"/>
        <v>0.42880523731587561</v>
      </c>
    </row>
    <row r="19" spans="1:5" ht="18.75" customHeight="1" x14ac:dyDescent="0.25">
      <c r="A19" s="10">
        <v>46242</v>
      </c>
      <c r="B19" s="12" t="s">
        <v>33</v>
      </c>
      <c r="C19" s="6">
        <v>128</v>
      </c>
      <c r="D19" s="6">
        <v>116</v>
      </c>
      <c r="E19" s="7">
        <f t="shared" si="0"/>
        <v>9.375E-2</v>
      </c>
    </row>
    <row r="20" spans="1:5" ht="18.75" customHeight="1" x14ac:dyDescent="0.25">
      <c r="A20" s="5">
        <v>46256</v>
      </c>
      <c r="B20" s="12" t="s">
        <v>11</v>
      </c>
      <c r="C20" s="6">
        <v>0</v>
      </c>
      <c r="D20" s="6">
        <v>0</v>
      </c>
      <c r="E20" s="7">
        <f>IF(C20=0,0,+(C20-D20)/C20)</f>
        <v>0</v>
      </c>
    </row>
    <row r="21" spans="1:5" ht="18.75" customHeight="1" x14ac:dyDescent="0.25">
      <c r="A21" s="5">
        <v>46277</v>
      </c>
      <c r="B21" s="12" t="s">
        <v>39</v>
      </c>
      <c r="C21" s="6">
        <v>96</v>
      </c>
      <c r="D21" s="6">
        <v>50</v>
      </c>
      <c r="E21" s="7">
        <f t="shared" ref="E21" si="1">IF(C21=0,0,+(C21-D21)/C21)</f>
        <v>0.47916666666666669</v>
      </c>
    </row>
    <row r="22" spans="1:5" ht="18.75" customHeight="1" x14ac:dyDescent="0.25">
      <c r="A22" s="10">
        <v>46284</v>
      </c>
      <c r="B22" s="12" t="s">
        <v>34</v>
      </c>
      <c r="C22" s="6">
        <v>140</v>
      </c>
      <c r="D22" s="6">
        <v>65</v>
      </c>
      <c r="E22" s="7">
        <f t="shared" si="0"/>
        <v>0.5357142857142857</v>
      </c>
    </row>
    <row r="23" spans="1:5" ht="18.75" customHeight="1" x14ac:dyDescent="0.25">
      <c r="A23" s="10">
        <v>46284</v>
      </c>
      <c r="B23" s="12" t="s">
        <v>40</v>
      </c>
      <c r="C23" s="6">
        <v>1255</v>
      </c>
      <c r="D23" s="6">
        <v>376</v>
      </c>
      <c r="E23" s="7">
        <f t="shared" ref="E23:E25" si="2">IF(C23=0,0,+(C23-D23)/C23)</f>
        <v>0.70039840637450201</v>
      </c>
    </row>
    <row r="24" spans="1:5" ht="18.75" customHeight="1" x14ac:dyDescent="0.25">
      <c r="A24" s="10">
        <v>46284</v>
      </c>
      <c r="B24" s="12" t="s">
        <v>41</v>
      </c>
      <c r="C24" s="6">
        <v>363</v>
      </c>
      <c r="D24" s="6">
        <v>163</v>
      </c>
      <c r="E24" s="7">
        <f t="shared" si="2"/>
        <v>0.55096418732782371</v>
      </c>
    </row>
    <row r="25" spans="1:5" ht="18.75" customHeight="1" x14ac:dyDescent="0.25">
      <c r="A25" s="10">
        <v>46291</v>
      </c>
      <c r="B25" s="12" t="s">
        <v>44</v>
      </c>
      <c r="C25" s="6">
        <v>320</v>
      </c>
      <c r="D25" s="6">
        <v>249</v>
      </c>
      <c r="E25" s="7">
        <f t="shared" si="2"/>
        <v>0.22187499999999999</v>
      </c>
    </row>
    <row r="26" spans="1:5" ht="18.75" customHeight="1" x14ac:dyDescent="0.25">
      <c r="A26" s="5">
        <v>46298</v>
      </c>
      <c r="B26" s="12" t="s">
        <v>35</v>
      </c>
      <c r="C26" s="6">
        <v>226</v>
      </c>
      <c r="D26" s="6">
        <v>176</v>
      </c>
      <c r="E26" s="7">
        <f t="shared" si="0"/>
        <v>0.22123893805309736</v>
      </c>
    </row>
    <row r="27" spans="1:5" ht="18.75" customHeight="1" x14ac:dyDescent="0.25">
      <c r="A27" s="23">
        <v>46305</v>
      </c>
      <c r="B27" s="12" t="s">
        <v>43</v>
      </c>
      <c r="C27" s="6">
        <v>0</v>
      </c>
      <c r="D27" s="6">
        <v>0</v>
      </c>
      <c r="E27" s="7">
        <f t="shared" si="0"/>
        <v>0</v>
      </c>
    </row>
    <row r="28" spans="1:5" ht="18.75" customHeight="1" x14ac:dyDescent="0.25">
      <c r="A28" s="23">
        <v>46305</v>
      </c>
      <c r="B28" s="12" t="s">
        <v>42</v>
      </c>
      <c r="C28" s="6">
        <v>200</v>
      </c>
      <c r="D28" s="6">
        <v>100</v>
      </c>
      <c r="E28" s="7">
        <f t="shared" si="0"/>
        <v>0.5</v>
      </c>
    </row>
    <row r="29" spans="1:5" ht="18.75" customHeight="1" x14ac:dyDescent="0.25">
      <c r="A29" s="5">
        <v>46319</v>
      </c>
      <c r="B29" s="12" t="s">
        <v>36</v>
      </c>
      <c r="C29" s="6">
        <v>0</v>
      </c>
      <c r="D29" s="6">
        <v>0</v>
      </c>
      <c r="E29" s="7">
        <f t="shared" si="0"/>
        <v>0</v>
      </c>
    </row>
    <row r="30" spans="1:5" ht="18.75" customHeight="1" x14ac:dyDescent="0.25">
      <c r="A30" s="5">
        <v>46319</v>
      </c>
      <c r="B30" s="12" t="s">
        <v>37</v>
      </c>
      <c r="C30" s="6">
        <v>0</v>
      </c>
      <c r="D30" s="6">
        <v>0</v>
      </c>
      <c r="E30" s="7">
        <f t="shared" si="0"/>
        <v>0</v>
      </c>
    </row>
    <row r="31" spans="1:5" ht="18.75" customHeight="1" x14ac:dyDescent="0.25">
      <c r="A31" s="5">
        <v>46333</v>
      </c>
      <c r="B31" s="12" t="s">
        <v>38</v>
      </c>
      <c r="C31" s="6">
        <v>0</v>
      </c>
      <c r="D31" s="6">
        <v>0</v>
      </c>
      <c r="E31" s="7">
        <f t="shared" si="0"/>
        <v>0</v>
      </c>
    </row>
    <row r="32" spans="1:5" ht="18.75" customHeight="1" x14ac:dyDescent="0.25">
      <c r="A32" s="5"/>
      <c r="B32" s="12"/>
      <c r="E32" s="7">
        <f t="shared" si="0"/>
        <v>0</v>
      </c>
    </row>
    <row r="33" spans="1:5" ht="15.75" customHeight="1" x14ac:dyDescent="0.25">
      <c r="A33" s="5"/>
      <c r="B33" s="12"/>
      <c r="E33" s="7"/>
    </row>
    <row r="34" spans="1:5" ht="18.75" customHeight="1" x14ac:dyDescent="0.25">
      <c r="A34" s="5"/>
      <c r="B34" s="13"/>
      <c r="E34" s="7"/>
    </row>
    <row r="35" spans="1:5" ht="18.75" customHeight="1" x14ac:dyDescent="0.25">
      <c r="A35" s="5"/>
      <c r="B35" s="9"/>
      <c r="E35" s="7"/>
    </row>
    <row r="36" spans="1:5" ht="18.75" customHeight="1" x14ac:dyDescent="0.25">
      <c r="A36" s="5"/>
      <c r="B36" s="9"/>
      <c r="E36" s="7"/>
    </row>
    <row r="37" spans="1:5" ht="18.75" customHeight="1" x14ac:dyDescent="0.25">
      <c r="A37" s="5"/>
      <c r="B37" s="9"/>
      <c r="E37" s="7"/>
    </row>
    <row r="38" spans="1:5" ht="18.75" customHeight="1" x14ac:dyDescent="0.25">
      <c r="A38" s="5"/>
      <c r="B38" s="9"/>
      <c r="E38" s="7"/>
    </row>
    <row r="39" spans="1:5" ht="18.75" customHeight="1" x14ac:dyDescent="0.25">
      <c r="A39" s="5"/>
      <c r="B39" s="9"/>
      <c r="E39" s="7"/>
    </row>
  </sheetData>
  <sortState xmlns:xlrd2="http://schemas.microsoft.com/office/spreadsheetml/2017/richdata2" ref="A2:I40">
    <sortCondition ref="A2:A40"/>
  </sortState>
  <hyperlinks>
    <hyperlink ref="B2" r:id="rId1" display="https://sqlsaturday.com/2026-01-17-sqlsaturday1138/" xr:uid="{82BDF17B-780C-46C4-BDF3-6B50D2949365}"/>
    <hyperlink ref="B12" r:id="rId2" display="https://sqlsaturday.com/2026-02-28-sqlsaturday1132/" xr:uid="{3CC0F7AB-4490-4C03-A3EA-563AE4BBFA78}"/>
    <hyperlink ref="B3" r:id="rId3" display="https://sqlsaturday.com/2026-03-21-sqlsaturday1127/" xr:uid="{26A80E05-1ED5-4017-BDE7-5BD71AB84731}"/>
    <hyperlink ref="B5" r:id="rId4" display="https://sqlsaturday.com/2026-04-11-sqlsaturday1139/" xr:uid="{59FC6D52-C447-4042-A6E8-6B02210F740F}"/>
    <hyperlink ref="B7" r:id="rId5" display="https://sqlsaturday.com/2026-04-18-sqlsaturday1140/" xr:uid="{58E6D6B4-5ED4-4714-8FDB-E08CF0662BC3}"/>
    <hyperlink ref="B4" r:id="rId6" display="https://sqlsaturday.com/2026-03-28-sqlsaturday1142/" xr:uid="{437241E0-0AAF-4D4E-8A16-325412A2DA23}"/>
    <hyperlink ref="B6" r:id="rId7" display="https://sqlsaturday.com/2026-04-11-sqlsaturday1135/" xr:uid="{0D895616-7215-4314-966E-B2E806332540}"/>
    <hyperlink ref="B8" r:id="rId8" display="https://sqlsaturday.com/2026-04-25-sqlsaturday1137/" xr:uid="{CBF1FDBB-4936-434E-A18B-A7006D90C96F}"/>
    <hyperlink ref="B9" r:id="rId9" display="https://sqlsaturday.com/2026-04-25-sqlsaturday1147/" xr:uid="{4F37EDCA-58B8-44A9-B0D6-6EDA7AF3E42B}"/>
    <hyperlink ref="B10" r:id="rId10" display="https://sqlsaturday.com/2026-05-02-sqlsaturday1128/" xr:uid="{6FA71D67-7C14-4F2A-9D00-36D7917E1905}"/>
    <hyperlink ref="B11" r:id="rId11" display="https://sqlsaturday.com/2026-05-16-sqlsaturday1145/" xr:uid="{621DEBD7-D2F3-4796-9A5B-835C7AC84D89}"/>
    <hyperlink ref="B20" r:id="rId12" display="https://sqlsaturday.com/2026-02-28-sqlsaturday1132/" xr:uid="{D5D65017-5D91-4956-91B6-8FD0826424E6}"/>
    <hyperlink ref="B13" r:id="rId13" display="https://sqlsaturday.com/2026-05-23-sqlsaturday1143/" xr:uid="{08240465-5826-4B6D-BF89-D440EAEC6B19}"/>
    <hyperlink ref="B14" r:id="rId14" display="https://sqlsaturday.com/2026-05-30-sqlsaturday1146/" xr:uid="{07BCAB4D-DB0C-47E4-80D6-972EFD2D8F00}"/>
    <hyperlink ref="B15" r:id="rId15" display="https://sqlsaturday.com/2026-06-13-sqlsaturday1134/" xr:uid="{71407BD4-076C-49A9-9D7A-02703DA14C90}"/>
    <hyperlink ref="B16" r:id="rId16" display="https://sqlsaturday.com/2026-06-27-sqlsaturday1151/" xr:uid="{D2572D5E-CAA7-4C8A-BC10-9BDD5367C374}"/>
    <hyperlink ref="B17" r:id="rId17" display="https://sqlsaturday.com/2026-06-27-sqlsaturday1154/" xr:uid="{4E193433-7FEF-42F0-9BE1-2E1B4F56DC45}"/>
    <hyperlink ref="B18" r:id="rId18" display="https://sqlsaturday.com/2026-07-18-sqlsaturday1141/" xr:uid="{B4310BB2-BE85-4D94-9531-7F04382A3C59}"/>
    <hyperlink ref="B19" r:id="rId19" display="https://sqlsaturday.com/2026-08-08-sqlsaturday1144/" xr:uid="{49013F68-7251-4303-A8A8-19F4C344B133}"/>
    <hyperlink ref="B22" r:id="rId20" display="https://sqlsaturday.com/2026-09-19-sqlsaturday1152/" xr:uid="{1C24212F-ACFE-4FD3-A6CF-8E691EEA9C75}"/>
    <hyperlink ref="B26" r:id="rId21" display="https://sqlsaturday.com/2026-10-03-sqlsaturday1150/" xr:uid="{80072270-983F-4E6A-AFAE-3FC24DE448B3}"/>
    <hyperlink ref="B29" r:id="rId22" display="https://sqlsaturday.com/2026-10-24-sqlsaturday1148/" xr:uid="{111A5B01-58C6-46AB-81AC-567A7B3C8861}"/>
    <hyperlink ref="B30" r:id="rId23" display="https://sqlsaturday.com/2026-10-24-sqlsaturday1153/" xr:uid="{29A122E2-6150-4028-BEF4-E884CED9AA91}"/>
    <hyperlink ref="B31" r:id="rId24" display="https://sqlsaturday.com/2026-11-07-sqlsaturday1149/" xr:uid="{1C87B471-8BB8-47E8-8A2F-FEB250EAF056}"/>
    <hyperlink ref="B21" r:id="rId25" display="https://sqlsaturday.com/2026-09-12-sqlsaturday1164/" xr:uid="{C31C9E88-D474-46E9-9D7F-515DB0D1C4FD}"/>
    <hyperlink ref="B23" r:id="rId26" display="https://sqlsaturday.com/2026-09-19-sqlsaturday1156/" xr:uid="{D29C5250-03B6-490D-8B76-A7A1B304D760}"/>
    <hyperlink ref="B24" r:id="rId27" display="https://sqlsaturday.com/2026-09-19-sqlsaturday1159/" xr:uid="{120DA250-32FF-4D5E-BAA0-AE998F27E101}"/>
    <hyperlink ref="B28" r:id="rId28" display="https://sqlsaturday.com/2026-10-17-sqlsaturday1158/" xr:uid="{2D6CCE83-4261-41C0-B4C4-43B0C3FABEA6}"/>
    <hyperlink ref="B27" r:id="rId29" display="https://sqlsaturday.com/2026-10-17-sqlsaturday1161/" xr:uid="{4A13ED3F-D3DC-400D-9262-574D23DDA0BF}"/>
    <hyperlink ref="B25" r:id="rId30" display="https://sqlsaturday.com/2026-09-26-sqlsaturday1160/" xr:uid="{CF95E3B9-8C45-4ACB-9719-85DEDE16399E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AEBE-70DD-4114-ACD9-DE4988A37B44}">
  <dimension ref="A1:P34"/>
  <sheetViews>
    <sheetView tabSelected="1" workbookViewId="0">
      <selection activeCell="F25" sqref="F25"/>
    </sheetView>
  </sheetViews>
  <sheetFormatPr defaultRowHeight="15" x14ac:dyDescent="0.25"/>
  <cols>
    <col min="1" max="1" width="15" customWidth="1"/>
    <col min="2" max="2" width="42.85546875" customWidth="1"/>
    <col min="6" max="6" width="15.5703125" customWidth="1"/>
    <col min="15" max="15" width="15.7109375" customWidth="1"/>
  </cols>
  <sheetData>
    <row r="1" spans="1:16" x14ac:dyDescent="0.25">
      <c r="A1" t="s">
        <v>0</v>
      </c>
      <c r="B1" t="s">
        <v>1</v>
      </c>
      <c r="C1" t="s">
        <v>22</v>
      </c>
      <c r="D1" t="s">
        <v>21</v>
      </c>
      <c r="E1" t="s">
        <v>23</v>
      </c>
      <c r="F1" t="s">
        <v>24</v>
      </c>
      <c r="G1" t="s">
        <v>25</v>
      </c>
      <c r="H1" t="s">
        <v>26</v>
      </c>
    </row>
    <row r="2" spans="1:16" x14ac:dyDescent="0.25">
      <c r="A2" s="10">
        <f>+Attendance!A2</f>
        <v>46039</v>
      </c>
      <c r="B2" s="10" t="str">
        <f>+Attendance!B2</f>
        <v>SQL Saturday Lima 2026 (#1138)</v>
      </c>
      <c r="C2" s="19">
        <v>42</v>
      </c>
      <c r="D2" s="19">
        <v>0</v>
      </c>
      <c r="E2" s="19">
        <v>68</v>
      </c>
      <c r="F2" s="19">
        <v>0</v>
      </c>
      <c r="G2" s="8">
        <f t="shared" ref="G2:G6" si="0">+H2-SUM(C2:F2)</f>
        <v>188</v>
      </c>
      <c r="H2" s="8">
        <f>+Attendance!C2</f>
        <v>298</v>
      </c>
    </row>
    <row r="3" spans="1:16" x14ac:dyDescent="0.25">
      <c r="A3" s="10">
        <f>+Attendance!A3</f>
        <v>46102</v>
      </c>
      <c r="B3" s="10" t="str">
        <f>+Attendance!B3</f>
        <v>SQL Saturday Atlanta 2026 - AI &amp; BI (#1127)</v>
      </c>
      <c r="C3" s="19">
        <v>0</v>
      </c>
      <c r="D3" s="19">
        <v>0</v>
      </c>
      <c r="E3" s="19">
        <v>0</v>
      </c>
      <c r="F3" s="19">
        <v>0</v>
      </c>
      <c r="G3" s="8">
        <f t="shared" si="0"/>
        <v>464</v>
      </c>
      <c r="H3" s="8">
        <f>+Attendance!C3</f>
        <v>464</v>
      </c>
    </row>
    <row r="4" spans="1:16" x14ac:dyDescent="0.25">
      <c r="A4" s="10">
        <f>+Attendance!A4</f>
        <v>46109</v>
      </c>
      <c r="B4" s="10" t="str">
        <f>+Attendance!B4</f>
        <v>SQL Saturday Sao Paulo 2026 (#1142)</v>
      </c>
      <c r="C4" s="19">
        <v>28</v>
      </c>
      <c r="D4" s="19">
        <v>5</v>
      </c>
      <c r="E4" s="19">
        <v>46</v>
      </c>
      <c r="F4" s="19">
        <v>8</v>
      </c>
      <c r="G4" s="8">
        <f t="shared" si="0"/>
        <v>133</v>
      </c>
      <c r="H4" s="8">
        <f>+Attendance!C4</f>
        <v>220</v>
      </c>
    </row>
    <row r="5" spans="1:16" x14ac:dyDescent="0.25">
      <c r="A5" s="10">
        <f>+Attendance!A5</f>
        <v>46123</v>
      </c>
      <c r="B5" s="10" t="str">
        <f>+Attendance!B5</f>
        <v>SQL Saturday Joinville 2026 (#1139)</v>
      </c>
      <c r="C5" s="19">
        <v>29</v>
      </c>
      <c r="D5" s="19">
        <v>0</v>
      </c>
      <c r="E5" s="19">
        <v>16</v>
      </c>
      <c r="F5" s="19">
        <v>19</v>
      </c>
      <c r="G5" s="8">
        <f t="shared" si="0"/>
        <v>616</v>
      </c>
      <c r="H5" s="8">
        <f>+Attendance!C5</f>
        <v>680</v>
      </c>
    </row>
    <row r="6" spans="1:16" x14ac:dyDescent="0.25">
      <c r="A6" s="10">
        <f>+Attendance!A6</f>
        <v>46123</v>
      </c>
      <c r="B6" s="10" t="str">
        <f>+Attendance!B6</f>
        <v>Day of Data Richmond 2026 (#1135)</v>
      </c>
      <c r="C6">
        <v>0</v>
      </c>
      <c r="D6">
        <v>13</v>
      </c>
      <c r="E6">
        <v>31</v>
      </c>
      <c r="F6">
        <v>0</v>
      </c>
      <c r="G6" s="8">
        <f t="shared" si="0"/>
        <v>123</v>
      </c>
      <c r="H6" s="8">
        <f>+Attendance!C6</f>
        <v>167</v>
      </c>
      <c r="O6" s="20"/>
      <c r="P6" s="24"/>
    </row>
    <row r="7" spans="1:16" x14ac:dyDescent="0.25">
      <c r="A7" s="10">
        <f>+Attendance!A7</f>
        <v>46130</v>
      </c>
      <c r="B7" s="10" t="str">
        <f>+Attendance!B7</f>
        <v>SeaQL 2026 - Brouwersdam, NL (#1140)</v>
      </c>
      <c r="C7">
        <v>10</v>
      </c>
      <c r="D7">
        <v>1</v>
      </c>
      <c r="E7">
        <v>14</v>
      </c>
      <c r="F7">
        <f>4+3+1+2+1</f>
        <v>11</v>
      </c>
      <c r="G7" s="8">
        <f>+H7-SUM(C7:F7)</f>
        <v>98</v>
      </c>
      <c r="H7" s="8">
        <f>+Attendance!C7</f>
        <v>134</v>
      </c>
      <c r="O7" s="21"/>
      <c r="P7" s="24"/>
    </row>
    <row r="8" spans="1:16" x14ac:dyDescent="0.25">
      <c r="A8" s="10">
        <f>+Attendance!A8</f>
        <v>46137</v>
      </c>
      <c r="B8" s="10" t="str">
        <f>+Attendance!B8</f>
        <v>Houston Ai-Lytics Day 2026 (#1137)</v>
      </c>
      <c r="C8">
        <v>28</v>
      </c>
      <c r="D8">
        <v>10</v>
      </c>
      <c r="E8">
        <v>20</v>
      </c>
      <c r="F8">
        <v>5</v>
      </c>
      <c r="G8" s="8">
        <f t="shared" ref="G8:G9" si="1">+H8-SUM(C8:F8)</f>
        <v>93</v>
      </c>
      <c r="H8" s="8">
        <f>+Attendance!C8</f>
        <v>156</v>
      </c>
      <c r="O8" s="21"/>
      <c r="P8" s="22"/>
    </row>
    <row r="9" spans="1:16" x14ac:dyDescent="0.25">
      <c r="A9" s="10">
        <f>+Attendance!A9</f>
        <v>46137</v>
      </c>
      <c r="B9" s="10" t="str">
        <f>+Attendance!B9</f>
        <v>SQL Saturday Arequipa 2026 (#1147)</v>
      </c>
      <c r="C9">
        <v>0</v>
      </c>
      <c r="D9">
        <v>0</v>
      </c>
      <c r="E9">
        <v>6</v>
      </c>
      <c r="F9">
        <v>24</v>
      </c>
      <c r="G9" s="8">
        <f t="shared" si="1"/>
        <v>34</v>
      </c>
      <c r="H9" s="8">
        <f>+Attendance!C9</f>
        <v>64</v>
      </c>
      <c r="O9" s="21"/>
      <c r="P9" s="22"/>
    </row>
    <row r="10" spans="1:16" x14ac:dyDescent="0.25">
      <c r="A10" s="10">
        <f>+Attendance!A10</f>
        <v>46144</v>
      </c>
      <c r="B10" s="10" t="str">
        <f>+Attendance!B10</f>
        <v>Day of Data Jacksonville 2026 (#1128)</v>
      </c>
      <c r="C10">
        <v>53</v>
      </c>
      <c r="D10">
        <v>40</v>
      </c>
      <c r="E10">
        <v>45</v>
      </c>
      <c r="F10">
        <v>106</v>
      </c>
      <c r="G10" s="8">
        <f>+H10-SUM(C10:F10)</f>
        <v>290</v>
      </c>
      <c r="H10" s="8">
        <f>+Attendance!C10</f>
        <v>534</v>
      </c>
      <c r="O10" s="21"/>
      <c r="P10" s="22"/>
    </row>
    <row r="11" spans="1:16" x14ac:dyDescent="0.25">
      <c r="A11" s="10">
        <f>+Attendance!A11</f>
        <v>46158</v>
      </c>
      <c r="B11" s="10" t="str">
        <f>+Attendance!B11</f>
        <v>SQL Saturday Haiti 2026 (#1145) - Virtual</v>
      </c>
      <c r="C11">
        <v>8</v>
      </c>
      <c r="D11">
        <v>0</v>
      </c>
      <c r="E11">
        <v>11</v>
      </c>
      <c r="F11">
        <v>3</v>
      </c>
      <c r="G11" s="8">
        <f t="shared" ref="G11:G12" si="2">+H11-SUM(C11:F11)</f>
        <v>48</v>
      </c>
      <c r="H11" s="8">
        <f>+Attendance!C11</f>
        <v>70</v>
      </c>
      <c r="O11" s="21"/>
      <c r="P11" s="22"/>
    </row>
    <row r="12" spans="1:16" x14ac:dyDescent="0.25">
      <c r="A12" s="10">
        <f>+Attendance!A12</f>
        <v>46256</v>
      </c>
      <c r="B12" s="10" t="str">
        <f>+Attendance!B12</f>
        <v>SQL Saturday Belo Horizonte 2026 (#1132)</v>
      </c>
      <c r="C12">
        <v>0</v>
      </c>
      <c r="D12">
        <v>0</v>
      </c>
      <c r="E12">
        <v>0</v>
      </c>
      <c r="F12">
        <v>0</v>
      </c>
      <c r="G12" s="8">
        <f t="shared" si="2"/>
        <v>0</v>
      </c>
      <c r="H12" s="8">
        <f>+Attendance!C12</f>
        <v>0</v>
      </c>
      <c r="O12" s="21"/>
      <c r="P12" s="22"/>
    </row>
    <row r="13" spans="1:16" x14ac:dyDescent="0.25">
      <c r="A13" s="10">
        <f>+Attendance!A13</f>
        <v>46165</v>
      </c>
      <c r="B13" s="10" t="str">
        <f>+Attendance!B13</f>
        <v>Day of Data Raleigh 2026 (#1143)</v>
      </c>
      <c r="C13">
        <v>0</v>
      </c>
      <c r="D13">
        <v>0</v>
      </c>
      <c r="E13">
        <v>0</v>
      </c>
      <c r="F13">
        <v>0</v>
      </c>
      <c r="G13" s="8">
        <f t="shared" ref="G13:G27" si="3">+H13-SUM(C13:F13)</f>
        <v>178</v>
      </c>
      <c r="H13" s="8">
        <f>+Attendance!C13</f>
        <v>178</v>
      </c>
      <c r="O13" s="21"/>
      <c r="P13" s="22"/>
    </row>
    <row r="14" spans="1:16" x14ac:dyDescent="0.25">
      <c r="A14" s="10">
        <f>+Attendance!A14</f>
        <v>46172</v>
      </c>
      <c r="B14" s="10" t="str">
        <f>+Attendance!B14</f>
        <v>Day of Data Wellington 2026 (#1146)</v>
      </c>
      <c r="C14">
        <v>3</v>
      </c>
      <c r="D14">
        <v>4</v>
      </c>
      <c r="E14">
        <v>7</v>
      </c>
      <c r="F14">
        <v>7</v>
      </c>
      <c r="G14" s="8">
        <v>4</v>
      </c>
      <c r="H14" s="8">
        <f>+Attendance!C14</f>
        <v>36</v>
      </c>
      <c r="O14" s="21"/>
      <c r="P14" s="22"/>
    </row>
    <row r="15" spans="1:16" x14ac:dyDescent="0.25">
      <c r="A15" s="10">
        <f>+Attendance!A15</f>
        <v>46186</v>
      </c>
      <c r="B15" s="10" t="str">
        <f>+Attendance!B15</f>
        <v>SQL Saturday Croatia 2026 (#1134)</v>
      </c>
      <c r="C15">
        <v>22</v>
      </c>
      <c r="D15">
        <v>5</v>
      </c>
      <c r="E15">
        <v>23</v>
      </c>
      <c r="F15">
        <v>19</v>
      </c>
      <c r="G15" s="8">
        <v>72</v>
      </c>
      <c r="H15" s="8">
        <f>+Attendance!C15</f>
        <v>153</v>
      </c>
      <c r="O15" s="21"/>
      <c r="P15" s="22"/>
    </row>
    <row r="16" spans="1:16" x14ac:dyDescent="0.25">
      <c r="A16" s="10">
        <f>+Attendance!A16</f>
        <v>46200</v>
      </c>
      <c r="B16" s="10" t="str">
        <f>+Attendance!B16</f>
        <v>SQL Saturday CXS 2026 (#1151)</v>
      </c>
      <c r="C16">
        <v>16</v>
      </c>
      <c r="D16">
        <v>42</v>
      </c>
      <c r="E16">
        <v>18</v>
      </c>
      <c r="F16">
        <v>31</v>
      </c>
      <c r="G16" s="8">
        <v>23</v>
      </c>
      <c r="H16" s="8">
        <f>+Attendance!C16</f>
        <v>196</v>
      </c>
      <c r="O16" s="21"/>
      <c r="P16" s="22"/>
    </row>
    <row r="17" spans="1:16" x14ac:dyDescent="0.25">
      <c r="A17" s="10">
        <f>+Attendance!A17</f>
        <v>46200</v>
      </c>
      <c r="B17" s="10" t="str">
        <f>+Attendance!B17</f>
        <v>SQL Saturday Austin 2026 (#1154)</v>
      </c>
      <c r="C17">
        <v>0</v>
      </c>
      <c r="D17">
        <v>0</v>
      </c>
      <c r="E17">
        <v>0</v>
      </c>
      <c r="F17">
        <v>0</v>
      </c>
      <c r="G17" s="8">
        <f t="shared" si="3"/>
        <v>94</v>
      </c>
      <c r="H17" s="8">
        <f>+Attendance!C17</f>
        <v>94</v>
      </c>
      <c r="O17" s="21"/>
      <c r="P17" s="22"/>
    </row>
    <row r="18" spans="1:16" x14ac:dyDescent="0.25">
      <c r="A18" s="10">
        <f>+Attendance!A18</f>
        <v>46221</v>
      </c>
      <c r="B18" s="10" t="str">
        <f>+Attendance!B18</f>
        <v>Day of Data Baton Rouge 2026 (#1141)</v>
      </c>
      <c r="C18">
        <v>94</v>
      </c>
      <c r="D18">
        <v>18</v>
      </c>
      <c r="E18">
        <v>28</v>
      </c>
      <c r="F18">
        <v>10</v>
      </c>
      <c r="G18" s="8">
        <f t="shared" si="3"/>
        <v>461</v>
      </c>
      <c r="H18" s="8">
        <f>+Attendance!C18</f>
        <v>611</v>
      </c>
      <c r="O18" s="21"/>
      <c r="P18" s="22"/>
    </row>
    <row r="19" spans="1:16" x14ac:dyDescent="0.25">
      <c r="A19" s="10">
        <f>+Attendance!A19</f>
        <v>46242</v>
      </c>
      <c r="B19" s="10" t="str">
        <f>+Attendance!B19</f>
        <v>Day of Data Albany 2026 (#1144)</v>
      </c>
      <c r="C19">
        <v>0</v>
      </c>
      <c r="D19">
        <v>11</v>
      </c>
      <c r="E19">
        <v>3</v>
      </c>
      <c r="F19">
        <v>19</v>
      </c>
      <c r="G19" s="8">
        <v>61</v>
      </c>
      <c r="H19" s="8">
        <f>+Attendance!C19</f>
        <v>128</v>
      </c>
      <c r="O19" s="21"/>
      <c r="P19" s="22"/>
    </row>
    <row r="20" spans="1:16" x14ac:dyDescent="0.25">
      <c r="A20" s="10">
        <f>+Attendance!A20</f>
        <v>46256</v>
      </c>
      <c r="B20" s="10" t="str">
        <f>+Attendance!B20</f>
        <v>SQL Saturday Belo Horizonte 2026 (#1132)</v>
      </c>
      <c r="C20">
        <v>0</v>
      </c>
      <c r="D20">
        <v>0</v>
      </c>
      <c r="E20">
        <v>0</v>
      </c>
      <c r="F20">
        <v>0</v>
      </c>
      <c r="G20" s="8">
        <f t="shared" si="3"/>
        <v>0</v>
      </c>
      <c r="H20" s="8">
        <f>+Attendance!C20</f>
        <v>0</v>
      </c>
      <c r="O20" s="21"/>
      <c r="P20" s="22"/>
    </row>
    <row r="21" spans="1:16" x14ac:dyDescent="0.25">
      <c r="A21" s="23">
        <v>46277</v>
      </c>
      <c r="B21" s="12" t="s">
        <v>39</v>
      </c>
      <c r="C21">
        <v>15</v>
      </c>
      <c r="D21">
        <v>7</v>
      </c>
      <c r="E21">
        <v>5</v>
      </c>
      <c r="F21">
        <v>15</v>
      </c>
      <c r="G21" s="8">
        <f t="shared" si="3"/>
        <v>54</v>
      </c>
      <c r="H21" s="8">
        <f>+Attendance!C21</f>
        <v>96</v>
      </c>
      <c r="O21" s="21"/>
      <c r="P21" s="22"/>
    </row>
    <row r="22" spans="1:16" x14ac:dyDescent="0.25">
      <c r="A22" s="10">
        <v>46284</v>
      </c>
      <c r="B22" s="12" t="s">
        <v>34</v>
      </c>
      <c r="C22">
        <v>0</v>
      </c>
      <c r="D22">
        <v>0</v>
      </c>
      <c r="E22">
        <v>0</v>
      </c>
      <c r="F22">
        <v>0</v>
      </c>
      <c r="G22" s="8">
        <f t="shared" si="3"/>
        <v>140</v>
      </c>
      <c r="H22" s="8">
        <f>+Attendance!C22</f>
        <v>140</v>
      </c>
      <c r="O22" s="21"/>
      <c r="P22" s="22"/>
    </row>
    <row r="23" spans="1:16" x14ac:dyDescent="0.25">
      <c r="A23" s="10">
        <v>46284</v>
      </c>
      <c r="B23" s="12" t="s">
        <v>40</v>
      </c>
      <c r="C23">
        <v>255</v>
      </c>
      <c r="D23">
        <v>0</v>
      </c>
      <c r="E23">
        <v>222</v>
      </c>
      <c r="F23">
        <v>0</v>
      </c>
      <c r="G23" s="8">
        <f t="shared" si="3"/>
        <v>778</v>
      </c>
      <c r="H23" s="8">
        <f>+Attendance!C23</f>
        <v>1255</v>
      </c>
      <c r="O23" s="21"/>
      <c r="P23" s="22"/>
    </row>
    <row r="24" spans="1:16" x14ac:dyDescent="0.25">
      <c r="A24" s="10">
        <v>46284</v>
      </c>
      <c r="B24" s="12" t="s">
        <v>41</v>
      </c>
      <c r="C24">
        <v>20</v>
      </c>
      <c r="D24">
        <v>5</v>
      </c>
      <c r="E24">
        <v>2</v>
      </c>
      <c r="F24">
        <v>12</v>
      </c>
      <c r="G24" s="8">
        <f t="shared" si="3"/>
        <v>324</v>
      </c>
      <c r="H24" s="8">
        <f>+Attendance!C24</f>
        <v>363</v>
      </c>
      <c r="O24" s="21"/>
      <c r="P24" s="22"/>
    </row>
    <row r="25" spans="1:16" x14ac:dyDescent="0.25">
      <c r="A25" s="10">
        <v>46291</v>
      </c>
      <c r="B25" s="12" t="s">
        <v>44</v>
      </c>
      <c r="C25">
        <v>21</v>
      </c>
      <c r="D25">
        <v>15</v>
      </c>
      <c r="E25">
        <v>7</v>
      </c>
      <c r="F25">
        <v>38</v>
      </c>
      <c r="G25" s="8">
        <f t="shared" ref="G25" si="4">+H25-SUM(C25:F25)</f>
        <v>239</v>
      </c>
      <c r="H25" s="8">
        <f>+Attendance!C25</f>
        <v>320</v>
      </c>
      <c r="O25" s="21"/>
      <c r="P25" s="22"/>
    </row>
    <row r="26" spans="1:16" x14ac:dyDescent="0.25">
      <c r="A26" s="23">
        <v>46298</v>
      </c>
      <c r="B26" s="12" t="s">
        <v>35</v>
      </c>
      <c r="C26">
        <v>0</v>
      </c>
      <c r="D26">
        <v>0</v>
      </c>
      <c r="E26">
        <v>0</v>
      </c>
      <c r="F26">
        <v>0</v>
      </c>
      <c r="G26" s="8">
        <f t="shared" si="3"/>
        <v>226</v>
      </c>
      <c r="H26" s="8">
        <f>+Attendance!C26</f>
        <v>226</v>
      </c>
      <c r="O26" s="21"/>
      <c r="P26" s="22"/>
    </row>
    <row r="27" spans="1:16" x14ac:dyDescent="0.25">
      <c r="A27" s="23">
        <v>46305</v>
      </c>
      <c r="B27" s="12" t="s">
        <v>43</v>
      </c>
      <c r="C27">
        <v>0</v>
      </c>
      <c r="D27">
        <v>0</v>
      </c>
      <c r="E27">
        <v>0</v>
      </c>
      <c r="F27">
        <v>0</v>
      </c>
      <c r="G27" s="8">
        <f t="shared" si="3"/>
        <v>363</v>
      </c>
      <c r="H27" s="8">
        <f>+Attendance!C24</f>
        <v>363</v>
      </c>
      <c r="O27" s="21"/>
      <c r="P27" s="22"/>
    </row>
    <row r="28" spans="1:16" x14ac:dyDescent="0.25">
      <c r="A28" s="23">
        <v>46305</v>
      </c>
      <c r="B28" s="12" t="s">
        <v>42</v>
      </c>
      <c r="C28">
        <v>0</v>
      </c>
      <c r="D28">
        <v>0</v>
      </c>
      <c r="E28">
        <v>0</v>
      </c>
      <c r="F28">
        <v>0</v>
      </c>
      <c r="G28" s="8">
        <f t="shared" ref="G28" si="5">+H28-SUM(C28:F28)</f>
        <v>226</v>
      </c>
      <c r="H28" s="8">
        <f>+Attendance!C26</f>
        <v>226</v>
      </c>
      <c r="O28" s="21"/>
      <c r="P28" s="22"/>
    </row>
    <row r="29" spans="1:16" x14ac:dyDescent="0.25">
      <c r="A29" s="23">
        <v>46312</v>
      </c>
      <c r="B29" s="12" t="s">
        <v>42</v>
      </c>
      <c r="C29">
        <v>0</v>
      </c>
      <c r="D29">
        <v>0</v>
      </c>
      <c r="E29">
        <v>0</v>
      </c>
      <c r="F29">
        <v>0</v>
      </c>
      <c r="G29" s="8">
        <f t="shared" ref="G29" si="6">+H29-SUM(C29:F29)</f>
        <v>0</v>
      </c>
      <c r="H29" s="8">
        <f>+Attendance!C29</f>
        <v>0</v>
      </c>
      <c r="O29" s="21"/>
      <c r="P29" s="22"/>
    </row>
    <row r="30" spans="1:16" x14ac:dyDescent="0.25">
      <c r="A30" s="23">
        <v>46319</v>
      </c>
      <c r="B30" s="12" t="s">
        <v>36</v>
      </c>
      <c r="C30">
        <v>0</v>
      </c>
      <c r="D30">
        <v>0</v>
      </c>
      <c r="E30">
        <v>0</v>
      </c>
      <c r="F30">
        <v>0</v>
      </c>
      <c r="G30" s="8">
        <f t="shared" ref="G30" si="7">+H30-SUM(C30:F30)</f>
        <v>0</v>
      </c>
      <c r="H30" s="8">
        <f>+Attendance!C29</f>
        <v>0</v>
      </c>
      <c r="O30" s="21"/>
      <c r="P30" s="22"/>
    </row>
    <row r="31" spans="1:16" x14ac:dyDescent="0.25">
      <c r="A31" s="23">
        <v>46319</v>
      </c>
      <c r="B31" s="12" t="s">
        <v>37</v>
      </c>
      <c r="C31">
        <v>0</v>
      </c>
      <c r="D31">
        <v>0</v>
      </c>
      <c r="E31">
        <v>0</v>
      </c>
      <c r="F31">
        <v>0</v>
      </c>
      <c r="G31" s="8">
        <f t="shared" ref="G31:G32" si="8">+H31-SUM(C31:F31)</f>
        <v>0</v>
      </c>
      <c r="H31" s="8">
        <f>+Attendance!C30</f>
        <v>0</v>
      </c>
      <c r="O31" s="21"/>
      <c r="P31" s="22"/>
    </row>
    <row r="32" spans="1:16" x14ac:dyDescent="0.25">
      <c r="A32" s="23">
        <v>46333</v>
      </c>
      <c r="B32" s="12" t="s">
        <v>38</v>
      </c>
      <c r="C32">
        <v>0</v>
      </c>
      <c r="D32">
        <v>0</v>
      </c>
      <c r="E32">
        <v>0</v>
      </c>
      <c r="F32">
        <v>0</v>
      </c>
      <c r="G32" s="8">
        <f t="shared" si="8"/>
        <v>0</v>
      </c>
      <c r="H32" s="8">
        <f>+Attendance!C31</f>
        <v>0</v>
      </c>
      <c r="O32" s="21"/>
      <c r="P32" s="22"/>
    </row>
    <row r="33" spans="15:16" x14ac:dyDescent="0.25">
      <c r="O33" s="21"/>
      <c r="P33" s="22"/>
    </row>
    <row r="34" spans="15:16" x14ac:dyDescent="0.25">
      <c r="O34" s="21"/>
      <c r="P34" s="22"/>
    </row>
  </sheetData>
  <mergeCells count="1">
    <mergeCell ref="P6:P7"/>
  </mergeCells>
  <hyperlinks>
    <hyperlink ref="B22" r:id="rId1" display="https://sqlsaturday.com/2026-09-19-sqlsaturday1152/" xr:uid="{0D6A567B-FCB7-44A2-A51E-648C719A8354}"/>
    <hyperlink ref="B26" r:id="rId2" display="https://sqlsaturday.com/2026-10-03-sqlsaturday1150/" xr:uid="{D31F3CEB-8FBE-4CA1-97BB-2A40A92A8401}"/>
    <hyperlink ref="B30" r:id="rId3" display="https://sqlsaturday.com/2026-10-24-sqlsaturday1148/" xr:uid="{96299D66-5563-46A3-B76A-F680ABDD2206}"/>
    <hyperlink ref="B31" r:id="rId4" display="https://sqlsaturday.com/2026-10-24-sqlsaturday1153/" xr:uid="{4FAC5D40-7DBE-4A53-AFF9-C92E65F31759}"/>
    <hyperlink ref="B32" r:id="rId5" display="https://sqlsaturday.com/2026-11-07-sqlsaturday1149/" xr:uid="{45E94655-95AF-4485-A5A2-4A3DD7455E27}"/>
    <hyperlink ref="B21" r:id="rId6" display="https://sqlsaturday.com/2026-09-12-sqlsaturday1164/" xr:uid="{5E7F8464-7EFE-4379-AF7A-413F4F14ABD5}"/>
    <hyperlink ref="B23" r:id="rId7" display="https://sqlsaturday.com/2026-09-19-sqlsaturday1156/" xr:uid="{840B9723-899E-4E77-BBFA-21BF1FA89943}"/>
    <hyperlink ref="B24" r:id="rId8" display="https://sqlsaturday.com/2026-09-19-sqlsaturday1159/" xr:uid="{0795C785-E600-4CBB-BC80-E9889F632DF8}"/>
    <hyperlink ref="B29" r:id="rId9" display="https://sqlsaturday.com/2026-10-17-sqlsaturday1158/" xr:uid="{C525B75A-FA66-455E-9044-8EAD66B8FD62}"/>
    <hyperlink ref="B28" r:id="rId10" display="https://sqlsaturday.com/2026-10-17-sqlsaturday1158/" xr:uid="{5E334D9F-9799-4B32-A293-64E5718D75C1}"/>
    <hyperlink ref="B27" r:id="rId11" display="https://sqlsaturday.com/2026-10-17-sqlsaturday1161/" xr:uid="{83C5546A-C2FB-4A01-A556-E429A4F7B664}"/>
    <hyperlink ref="B25" r:id="rId12" display="https://sqlsaturday.com/2026-09-26-sqlsaturday1160/" xr:uid="{C805518F-632E-48E7-AEE4-3AFAF9705381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Jobs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Jones</cp:lastModifiedBy>
  <dcterms:created xsi:type="dcterms:W3CDTF">2025-08-01T15:34:37Z</dcterms:created>
  <dcterms:modified xsi:type="dcterms:W3CDTF">2026-10-23T19:09:09Z</dcterms:modified>
</cp:coreProperties>
</file>